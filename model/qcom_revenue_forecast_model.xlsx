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Assumptions" sheetId="2" state="visible" r:id="rId4"/>
    <sheet name="Actuals" sheetId="3" state="visible" r:id="rId5"/>
    <sheet name="Guidance" sheetId="4" state="visible" r:id="rId6"/>
    <sheet name="Variance" sheetId="5" state="visible" r:id="rId7"/>
    <sheet name="Forecast" sheetId="6" state="visible" r:id="rId8"/>
    <sheet name="Summary" sheetId="7" state="visible" r:id="rId9"/>
    <sheet name="Scenarios" sheetId="8" state="visible" r:id="rId10"/>
    <sheet name="Sensitivity" sheetId="9" state="visible" r:id="rId11"/>
    <sheet name="Checks" sheetId="10" state="visible" r:id="rId12"/>
    <sheet name="Tableau_Revenue" sheetId="11" state="visible" r:id="rId13"/>
    <sheet name="Tableau_Guidance" sheetId="12" state="visible" r:id="rId14"/>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Enter 1, 2 or 3. Every forecast, summary and Tableau export tab follows this cell.</t>
        </r>
      </text>
    </comment>
  </commentList>
</comments>
</file>

<file path=xl/sharedStrings.xml><?xml version="1.0" encoding="utf-8"?>
<sst xmlns="http://schemas.openxmlformats.org/spreadsheetml/2006/main" count="823" uniqueCount="255">
  <si>
    <t xml:space="preserve">Qualcomm Financial Revenue Forecast &amp; Earnings Variance Analysis</t>
  </si>
  <si>
    <t xml:space="preserve">Forecasting Qualcomm's shift from phones to cars &amp; AI  |  $ in millions unless noted</t>
  </si>
  <si>
    <t xml:space="preserve">Active scenario</t>
  </si>
  <si>
    <t xml:space="preserve">Model checks</t>
  </si>
  <si>
    <t xml:space="preserve">Tab guide</t>
  </si>
  <si>
    <t xml:space="preserve">Assumptions</t>
  </si>
  <si>
    <t xml:space="preserve">Scenario selector (1=Base, 2=Bull, 3=Bear) and every forecast driver with rationale</t>
  </si>
  <si>
    <t xml:space="preserve">Actuals</t>
  </si>
  <si>
    <t xml:space="preserve">Reported segment revenue and EBT, FY24 Q1 - FY26 Q3, from earnings releases (S1-S11)</t>
  </si>
  <si>
    <t xml:space="preserve">Guidance</t>
  </si>
  <si>
    <t xml:space="preserve">Company revenue guidance ranges issued one quarter ahead, FY24 Q2 - FY26 Q4</t>
  </si>
  <si>
    <t xml:space="preserve">Variance</t>
  </si>
  <si>
    <t xml:space="preserve">Actual vs. guidance midpoint by segment: $ and % beat/miss, position in range</t>
  </si>
  <si>
    <t xml:space="preserve">Forecast</t>
  </si>
  <si>
    <t xml:space="preserve">Quarterly actuals + forecast FY26 Q4 - FY27 Q4 driven by the active scenario</t>
  </si>
  <si>
    <t xml:space="preserve">Summary</t>
  </si>
  <si>
    <t xml:space="preserve">Fiscal-year roll-up and the core question: does diversification offset handset decline?</t>
  </si>
  <si>
    <t xml:space="preserve">Scenarios</t>
  </si>
  <si>
    <t xml:space="preserve">FY26E / FY27E revenue and EBT under Base, Bull and Bear side by side</t>
  </si>
  <si>
    <t xml:space="preserve">Sensitivity</t>
  </si>
  <si>
    <t xml:space="preserve">FY27E revenue across handset growth x automotive growth</t>
  </si>
  <si>
    <t xml:space="preserve">Checks</t>
  </si>
  <si>
    <t xml:space="preserve">Integrity tests: stream tie-outs, guidance math, annual roll-ups, selector</t>
  </si>
  <si>
    <t xml:space="preserve">Tableau_Revenue</t>
  </si>
  <si>
    <t xml:space="preserve">Long-format revenue by stream and quarter (actual + forecast) for Tableau</t>
  </si>
  <si>
    <t xml:space="preserve">Tableau_Guidance</t>
  </si>
  <si>
    <t xml:space="preserve">Long-format guidance vs. actual/forecast for Tableau</t>
  </si>
  <si>
    <t xml:space="preserve">Color legend</t>
  </si>
  <si>
    <t xml:space="preserve">Blue = hardcoded input from a filing or an analyst assumption (edit these)</t>
  </si>
  <si>
    <t xml:space="preserve">Black = formula</t>
  </si>
  <si>
    <t xml:space="preserve">Green = link to another tab</t>
  </si>
  <si>
    <t xml:space="preserve">Yellow fill = key lever (scenario selector)</t>
  </si>
  <si>
    <t xml:space="preserve">Grey fill = forecast period</t>
  </si>
  <si>
    <t xml:space="preserve">Disclaimer</t>
  </si>
  <si>
    <t xml:space="preserve">Independent portfolio project built solely from public information (Qualcomm earnings releases and SEC filings). Not affiliated with or endorsed by Qualcomm. Forecast drivers are analyst assumptions, not company data. Not investment advice.</t>
  </si>
  <si>
    <t xml:space="preserve">All forecast drivers. Change B5 to switch scenarios; edit blue cells to test your own view.</t>
  </si>
  <si>
    <t xml:space="preserve">Scenario selector (1=Base, 2=Bull, 3=Bear)</t>
  </si>
  <si>
    <t xml:space="preserve">Driver</t>
  </si>
  <si>
    <t xml:space="preserve">Applies to</t>
  </si>
  <si>
    <t xml:space="preserve">Base</t>
  </si>
  <si>
    <t xml:space="preserve">Bull</t>
  </si>
  <si>
    <t xml:space="preserve">Bear</t>
  </si>
  <si>
    <t xml:space="preserve">Active</t>
  </si>
  <si>
    <t xml:space="preserve">Rationale / source</t>
  </si>
  <si>
    <t xml:space="preserve">Handsets revenue, YoY growth</t>
  </si>
  <si>
    <t xml:space="preserve">FY26 Q4</t>
  </si>
  <si>
    <t xml:space="preserve">Calibrated so Base QCT lands near the FY26 Q4 guidance midpoint ($8.4B-$9.0B, S11). Handsets fell 13% (Q2) and 20% (Q3) YoY; management expects iPhone modem share materially below its prior 20% estimate, and FY25 Q4 is a tough comparison.</t>
  </si>
  <si>
    <t xml:space="preserve">FY27</t>
  </si>
  <si>
    <t xml:space="preserve">Analyst assumption: continued Apple modem roll-off and memory-cost pressure on Android OEM builds, easing as comparisons reset.</t>
  </si>
  <si>
    <t xml:space="preserve">Automotive revenue, YoY growth</t>
  </si>
  <si>
    <t xml:space="preserve">Management commentary after Q3 FY26 pointed to roughly 60% YoY automotive growth in Q4; FY26 Q3 grew 61% (S11).</t>
  </si>
  <si>
    <t xml:space="preserve">Analyst assumption: growth decelerates off a larger base; exit-rate target raised to ~$7B annualized for FY26.</t>
  </si>
  <si>
    <t xml:space="preserve">IoT revenue, YoY growth</t>
  </si>
  <si>
    <t xml:space="preserve">IoT grew 9% YoY in both FY26 Q2 and Q3 (S10, S11).</t>
  </si>
  <si>
    <t xml:space="preserve">Analyst assumption: industrial/robotics and edge-AI product cycles; Bull adds early data center contribution.</t>
  </si>
  <si>
    <t xml:space="preserve">QTL revenue, YoY growth</t>
  </si>
  <si>
    <t xml:space="preserve">Calibrated to FY26 Q4 QTL guidance $1.2B-$1.4B (S11) vs. $1,409M in FY25 Q4.</t>
  </si>
  <si>
    <t xml:space="preserve">Analyst assumption: licensing tracks handset units; FY26 Q3 QTL was down 3% YoY.</t>
  </si>
  <si>
    <t xml:space="preserve">QCT EBT margin</t>
  </si>
  <si>
    <t xml:space="preserve">FY26 Q4 guidance: QCT EBT margin 23%-25% (S11).</t>
  </si>
  <si>
    <t xml:space="preserve">Analyst assumption: FY24-FY26 quarterly QCT margins ranged 26%-32%; Bear keeps memory-cost pressure.</t>
  </si>
  <si>
    <t xml:space="preserve">QTL EBT margin</t>
  </si>
  <si>
    <t xml:space="preserve">QTL EBT margin ran 69%-77% FY24-FY26 (Actuals tab).</t>
  </si>
  <si>
    <t xml:space="preserve">Analyst assumption: stable licensing margin.</t>
  </si>
  <si>
    <t xml:space="preserve">Method: each forecast quarter = same quarter prior year x (1 + YoY growth). Using YoY on the same quarter preserves Qualcomm's seasonality (strong fiscal Q1 holiday handset builds).</t>
  </si>
  <si>
    <t xml:space="preserve">Reported results, $ in millions. Source: Qualcomm quarterly earnings releases (see docs/sources.csv).</t>
  </si>
  <si>
    <t xml:space="preserve">Line item</t>
  </si>
  <si>
    <t xml:space="preserve">Unit</t>
  </si>
  <si>
    <t xml:space="preserve">FY24 Q1</t>
  </si>
  <si>
    <t xml:space="preserve">FY24 Q2</t>
  </si>
  <si>
    <t xml:space="preserve">FY24 Q3</t>
  </si>
  <si>
    <t xml:space="preserve">FY24 Q4</t>
  </si>
  <si>
    <t xml:space="preserve">FY25 Q1</t>
  </si>
  <si>
    <t xml:space="preserve">FY25 Q2</t>
  </si>
  <si>
    <t xml:space="preserve">FY25 Q3</t>
  </si>
  <si>
    <t xml:space="preserve">FY25 Q4</t>
  </si>
  <si>
    <t xml:space="preserve">FY26 Q1</t>
  </si>
  <si>
    <t xml:space="preserve">FY26 Q2</t>
  </si>
  <si>
    <t xml:space="preserve">FY26 Q3</t>
  </si>
  <si>
    <t xml:space="preserve">Period end</t>
  </si>
  <si>
    <t xml:space="preserve">2023-12-24</t>
  </si>
  <si>
    <t xml:space="preserve">2024-03-24</t>
  </si>
  <si>
    <t xml:space="preserve">2024-06-23</t>
  </si>
  <si>
    <t xml:space="preserve">2024-09-29</t>
  </si>
  <si>
    <t xml:space="preserve">2024-12-29</t>
  </si>
  <si>
    <t xml:space="preserve">2025-03-30</t>
  </si>
  <si>
    <t xml:space="preserve">2025-06-29</t>
  </si>
  <si>
    <t xml:space="preserve">2025-09-28</t>
  </si>
  <si>
    <t xml:space="preserve">2025-12-28</t>
  </si>
  <si>
    <t xml:space="preserve">2026-03-29</t>
  </si>
  <si>
    <t xml:space="preserve">2026-06-28</t>
  </si>
  <si>
    <t xml:space="preserve">Source ID</t>
  </si>
  <si>
    <t xml:space="preserve">S1</t>
  </si>
  <si>
    <t xml:space="preserve">S2</t>
  </si>
  <si>
    <t xml:space="preserve">S3</t>
  </si>
  <si>
    <t xml:space="preserve">S4</t>
  </si>
  <si>
    <t xml:space="preserve">S5</t>
  </si>
  <si>
    <t xml:space="preserve">S6</t>
  </si>
  <si>
    <t xml:space="preserve">S7</t>
  </si>
  <si>
    <t xml:space="preserve">S8</t>
  </si>
  <si>
    <t xml:space="preserve">S9</t>
  </si>
  <si>
    <t xml:space="preserve">S10</t>
  </si>
  <si>
    <t xml:space="preserve">S11</t>
  </si>
  <si>
    <t xml:space="preserve">Revenue ($mm)</t>
  </si>
  <si>
    <t xml:space="preserve">Handsets</t>
  </si>
  <si>
    <t xml:space="preserve">$mm</t>
  </si>
  <si>
    <t xml:space="preserve">Automotive</t>
  </si>
  <si>
    <t xml:space="preserve">IoT</t>
  </si>
  <si>
    <t xml:space="preserve">QCT revenue (reported)</t>
  </si>
  <si>
    <t xml:space="preserve">QTL revenue</t>
  </si>
  <si>
    <t xml:space="preserve">QCT + QTL revenue</t>
  </si>
  <si>
    <t xml:space="preserve">Earnings before taxes ($mm)</t>
  </si>
  <si>
    <t xml:space="preserve">QCT EBT</t>
  </si>
  <si>
    <t xml:space="preserve">QTL EBT</t>
  </si>
  <si>
    <t xml:space="preserve">QCT + QTL EBT</t>
  </si>
  <si>
    <t xml:space="preserve">Margins</t>
  </si>
  <si>
    <t xml:space="preserve">%</t>
  </si>
  <si>
    <t xml:space="preserve">YoY growth (same quarter prior year)</t>
  </si>
  <si>
    <t xml:space="preserve">n/a</t>
  </si>
  <si>
    <t xml:space="preserve">QCT revenue</t>
  </si>
  <si>
    <t xml:space="preserve">QCT revenue mix</t>
  </si>
  <si>
    <t xml:space="preserve">Handsets % of QCT</t>
  </si>
  <si>
    <t xml:space="preserve">Automotive + IoT % of QCT</t>
  </si>
  <si>
    <t xml:space="preserve">Revenue guidance issued in the prior quarter's earnings release, $ in millions. FY24 Q1 guidance not collected (see docs/assumptions.md).</t>
  </si>
  <si>
    <t xml:space="preserve">Issued (release date)</t>
  </si>
  <si>
    <t xml:space="preserve">2024-01-31</t>
  </si>
  <si>
    <t xml:space="preserve">2024-05-01</t>
  </si>
  <si>
    <t xml:space="preserve">2024-07-31</t>
  </si>
  <si>
    <t xml:space="preserve">2024-11-06</t>
  </si>
  <si>
    <t xml:space="preserve">2025-02-05</t>
  </si>
  <si>
    <t xml:space="preserve">2025-04-30</t>
  </si>
  <si>
    <t xml:space="preserve">2025-07-30</t>
  </si>
  <si>
    <t xml:space="preserve">2025-11-05</t>
  </si>
  <si>
    <t xml:space="preserve">2026-02-04</t>
  </si>
  <si>
    <t xml:space="preserve">2026-04-29</t>
  </si>
  <si>
    <t xml:space="preserve">2026-07-29</t>
  </si>
  <si>
    <t xml:space="preserve">Total revenue (GAAP)</t>
  </si>
  <si>
    <t xml:space="preserve">  Low</t>
  </si>
  <si>
    <t xml:space="preserve">  High</t>
  </si>
  <si>
    <t xml:space="preserve">  Midpoint</t>
  </si>
  <si>
    <t xml:space="preserve">Note: FY25 Q2 GAAP guidance includes dispute-settlement revenue; Non-GAAP range was $10.2B-$11.0B (S5).</t>
  </si>
  <si>
    <t xml:space="preserve">Guidance vs. Actual Variance</t>
  </si>
  <si>
    <t xml:space="preserve">Actual revenue vs. guidance midpoint, $ in millions. Positive = beat.</t>
  </si>
  <si>
    <t xml:space="preserve">Actual</t>
  </si>
  <si>
    <t xml:space="preserve">Guidance low</t>
  </si>
  <si>
    <t xml:space="preserve">Guidance high</t>
  </si>
  <si>
    <t xml:space="preserve">Guidance midpoint</t>
  </si>
  <si>
    <t xml:space="preserve">Variance vs. midpoint ($mm)</t>
  </si>
  <si>
    <t xml:space="preserve">Variance vs. midpoint (%)</t>
  </si>
  <si>
    <t xml:space="preserve">Position in range</t>
  </si>
  <si>
    <t xml:space="preserve">Position (0% = low end, 100% = high end)</t>
  </si>
  <si>
    <t xml:space="preserve">Scorecard (FY24 Q2 - FY26 Q3)</t>
  </si>
  <si>
    <t xml:space="preserve">Metric</t>
  </si>
  <si>
    <t xml:space="preserve">QCT</t>
  </si>
  <si>
    <t xml:space="preserve">QTL</t>
  </si>
  <si>
    <t xml:space="preserve">Quarters above guidance range</t>
  </si>
  <si>
    <t xml:space="preserve">Quarters within guidance range</t>
  </si>
  <si>
    <t xml:space="preserve">Quarters below guidance range</t>
  </si>
  <si>
    <t xml:space="preserve">Average variance vs. midpoint (%)</t>
  </si>
  <si>
    <t xml:space="preserve">Average position in range</t>
  </si>
  <si>
    <t xml:space="preserve">Largest beat vs. midpoint ($mm)</t>
  </si>
  <si>
    <t xml:space="preserve">Largest miss vs. midpoint ($mm)</t>
  </si>
  <si>
    <t xml:space="preserve">Quarterly Forecast</t>
  </si>
  <si>
    <t xml:space="preserve">Actuals FY24 Q1 - FY26 Q3 (linked) + forecast FY26 Q4 - FY27 Q4 (grey). $ in millions.</t>
  </si>
  <si>
    <t xml:space="preserve">FY27 Q1</t>
  </si>
  <si>
    <t xml:space="preserve">FY27 Q2</t>
  </si>
  <si>
    <t xml:space="preserve">FY27 Q3</t>
  </si>
  <si>
    <t xml:space="preserve">FY27 Q4</t>
  </si>
  <si>
    <t xml:space="preserve">Type</t>
  </si>
  <si>
    <t xml:space="preserve">Scenario</t>
  </si>
  <si>
    <t xml:space="preserve">Reported</t>
  </si>
  <si>
    <t xml:space="preserve">Diversification metrics</t>
  </si>
  <si>
    <t xml:space="preserve">QCT + QTL revenue, YoY growth</t>
  </si>
  <si>
    <t xml:space="preserve">Non-handset QCT revenue (Auto + IoT)</t>
  </si>
  <si>
    <t xml:space="preserve">Non-handset share of QCT</t>
  </si>
  <si>
    <t xml:space="preserve">Non-handset QCT revenue, YoY growth</t>
  </si>
  <si>
    <t xml:space="preserve">Handsets, YoY growth</t>
  </si>
  <si>
    <t xml:space="preserve">Method: forecast quarter = same quarter prior year x (1 + YoY growth from Assumptions). QCT forecast = sum of streams; EBT = revenue x EBT margin.</t>
  </si>
  <si>
    <t xml:space="preserve">Fiscal Year Summary</t>
  </si>
  <si>
    <t xml:space="preserve">Fiscal years end late September. FY26E = 3 reported quarters + Q4 forecast. $ in millions.</t>
  </si>
  <si>
    <t xml:space="preserve">FY24</t>
  </si>
  <si>
    <t xml:space="preserve">FY25</t>
  </si>
  <si>
    <t xml:space="preserve">FY26E</t>
  </si>
  <si>
    <t xml:space="preserve">FY27E</t>
  </si>
  <si>
    <t xml:space="preserve">Basis</t>
  </si>
  <si>
    <t xml:space="preserve">Act + Fcst</t>
  </si>
  <si>
    <t xml:space="preserve">Revenue and EBT ($mm)</t>
  </si>
  <si>
    <t xml:space="preserve">Growth and margins</t>
  </si>
  <si>
    <t xml:space="preserve">Handsets, YoY</t>
  </si>
  <si>
    <t xml:space="preserve">Automotive, YoY</t>
  </si>
  <si>
    <t xml:space="preserve">IoT, YoY</t>
  </si>
  <si>
    <t xml:space="preserve">QCT revenue, YoY</t>
  </si>
  <si>
    <t xml:space="preserve">QTL revenue, YoY</t>
  </si>
  <si>
    <t xml:space="preserve">QCT + QTL revenue, YoY</t>
  </si>
  <si>
    <t xml:space="preserve">Core question: does diversification offset handset decline?</t>
  </si>
  <si>
    <t xml:space="preserve">Change in handset revenue vs. prior year</t>
  </si>
  <si>
    <t xml:space="preserve">Change in Auto + IoT revenue vs. prior year</t>
  </si>
  <si>
    <t xml:space="preserve">Change in QTL revenue vs. prior year</t>
  </si>
  <si>
    <t xml:space="preserve">Net change in QCT + QTL revenue</t>
  </si>
  <si>
    <t xml:space="preserve">Offset ratio (Auto + IoT gain / handset loss)</t>
  </si>
  <si>
    <t xml:space="preserve">x</t>
  </si>
  <si>
    <t xml:space="preserve">Non-handset share of QCT revenue</t>
  </si>
  <si>
    <t xml:space="preserve">Verdict</t>
  </si>
  <si>
    <t xml:space="preserve">Offset ratio &gt;= 1.00x means Automotive + IoT added at least as many dollars as Handsets lost that year.</t>
  </si>
  <si>
    <t xml:space="preserve">Scenario Comparison</t>
  </si>
  <si>
    <t xml:space="preserve">Computed directly from each scenario's drivers, so all three show at once regardless of the selector. $ in millions.</t>
  </si>
  <si>
    <t xml:space="preserve">FY26E revenue ($mm)</t>
  </si>
  <si>
    <t xml:space="preserve">FY27E revenue ($mm)</t>
  </si>
  <si>
    <t xml:space="preserve">FY27E profitability and growth</t>
  </si>
  <si>
    <t xml:space="preserve">QCT + QTL revenue, YoY vs. FY26E</t>
  </si>
  <si>
    <t xml:space="preserve">Non-handset share of QCT, FY27E</t>
  </si>
  <si>
    <t xml:space="preserve">Handsets $ change, FY27E vs. FY26E</t>
  </si>
  <si>
    <t xml:space="preserve">Auto + IoT $ change, FY27E vs. FY26E</t>
  </si>
  <si>
    <t xml:space="preserve">Tie-out: the column matching the active scenario equals Summary FY26E / FY27E (see Checks).</t>
  </si>
  <si>
    <t xml:space="preserve">Sensitivity: FY27E Revenue</t>
  </si>
  <si>
    <t xml:space="preserve">QCT + QTL revenue ($mm) for FY27E by handset growth (rows) x automotive growth (columns). IoT and QTL use the active scenario.</t>
  </si>
  <si>
    <t xml:space="preserve">FY26E bases (active scenario)</t>
  </si>
  <si>
    <t xml:space="preserve">IoT FY27 growth (active)</t>
  </si>
  <si>
    <t xml:space="preserve">QTL FY27 growth (active)</t>
  </si>
  <si>
    <t xml:space="preserve">Handsets YoY  \  Automotive YoY</t>
  </si>
  <si>
    <t xml:space="preserve">FY26E QCT + QTL revenue (for reference)</t>
  </si>
  <si>
    <t xml:space="preserve">Shade guide: compare each cell with B21 to see which combinations grow revenue in FY27.</t>
  </si>
  <si>
    <t xml:space="preserve">Model Checks</t>
  </si>
  <si>
    <t xml:space="preserve">Every check should read OK.</t>
  </si>
  <si>
    <t xml:space="preserve">OVERALL</t>
  </si>
  <si>
    <t xml:space="preserve">#</t>
  </si>
  <si>
    <t xml:space="preserve">Check</t>
  </si>
  <si>
    <t xml:space="preserve">Result</t>
  </si>
  <si>
    <t xml:space="preserve">QCT streams sum to reported QCT revenue (all actual quarters)</t>
  </si>
  <si>
    <t xml:space="preserve">Guidance midpoints equal (low + high) / 2</t>
  </si>
  <si>
    <t xml:space="preserve">Guidance low &lt;= high for every quarter</t>
  </si>
  <si>
    <t xml:space="preserve">Scenario selector is 1, 2 or 3</t>
  </si>
  <si>
    <t xml:space="preserve">Summary annual revenue ties to quarterly Forecast</t>
  </si>
  <si>
    <t xml:space="preserve">Active-scenario column in Scenarios ties to Summary FY27E</t>
  </si>
  <si>
    <t xml:space="preserve">Forecast QCT = sum of forecast streams</t>
  </si>
  <si>
    <t xml:space="preserve">Informational</t>
  </si>
  <si>
    <t xml:space="preserve">FY26 Q4 forecast QCT revenue vs. company guidance range</t>
  </si>
  <si>
    <t xml:space="preserve">FY26 Q4 forecast QTL revenue vs. company guidance range</t>
  </si>
  <si>
    <t xml:space="preserve">period</t>
  </si>
  <si>
    <t xml:space="preserve">fiscal_year</t>
  </si>
  <si>
    <t xml:space="preserve">fiscal_quarter</t>
  </si>
  <si>
    <t xml:space="preserve">period_sort</t>
  </si>
  <si>
    <t xml:space="preserve">type</t>
  </si>
  <si>
    <t xml:space="preserve">scenario</t>
  </si>
  <si>
    <t xml:space="preserve">segment</t>
  </si>
  <si>
    <t xml:space="preserve">stream</t>
  </si>
  <si>
    <t xml:space="preserve">revenue_musd</t>
  </si>
  <si>
    <t xml:space="preserve">stream_ebt_musd</t>
  </si>
  <si>
    <t xml:space="preserve">Licensing</t>
  </si>
  <si>
    <t xml:space="preserve">value_musd</t>
  </si>
  <si>
    <t xml:space="preserve">guide_low_musd</t>
  </si>
  <si>
    <t xml:space="preserve">guide_high_musd</t>
  </si>
  <si>
    <t xml:space="preserve">guide_mid_musd</t>
  </si>
  <si>
    <t xml:space="preserve">variance_vs_mid_pct</t>
  </si>
  <si>
    <t xml:space="preserve">position</t>
  </si>
</sst>
</file>

<file path=xl/styles.xml><?xml version="1.0" encoding="utf-8"?>
<styleSheet xmlns="http://schemas.openxmlformats.org/spreadsheetml/2006/main">
  <numFmts count="6">
    <numFmt numFmtId="164" formatCode="General"/>
    <numFmt numFmtId="165" formatCode="#,##0;\(#,##0\);\-"/>
    <numFmt numFmtId="166" formatCode="0.0%;\(0.0%\);\-"/>
    <numFmt numFmtId="167" formatCode="General"/>
    <numFmt numFmtId="168" formatCode="0.00\x"/>
    <numFmt numFmtId="169" formatCode="0.0"/>
  </numFmts>
  <fonts count="14">
    <font>
      <sz val="11"/>
      <color theme="1"/>
      <name val="Calibri"/>
      <family val="2"/>
      <charset val="1"/>
    </font>
    <font>
      <sz val="10"/>
      <name val="Arial"/>
      <family val="0"/>
    </font>
    <font>
      <sz val="10"/>
      <name val="Arial"/>
      <family val="0"/>
    </font>
    <font>
      <sz val="10"/>
      <name val="Arial"/>
      <family val="0"/>
    </font>
    <font>
      <b val="true"/>
      <sz val="14"/>
      <color rgb="FF1F2A44"/>
      <name val="Arial"/>
      <family val="0"/>
      <charset val="1"/>
    </font>
    <font>
      <i val="true"/>
      <sz val="10"/>
      <color rgb="FF595959"/>
      <name val="Arial"/>
      <family val="0"/>
      <charset val="1"/>
    </font>
    <font>
      <b val="true"/>
      <sz val="10"/>
      <name val="Arial"/>
      <family val="0"/>
      <charset val="1"/>
    </font>
    <font>
      <sz val="10"/>
      <color rgb="FF008000"/>
      <name val="Arial"/>
      <family val="0"/>
      <charset val="1"/>
    </font>
    <font>
      <sz val="10"/>
      <name val="Arial"/>
      <family val="0"/>
      <charset val="1"/>
    </font>
    <font>
      <sz val="10"/>
      <color rgb="FF0000FF"/>
      <name val="Arial"/>
      <family val="0"/>
      <charset val="1"/>
    </font>
    <font>
      <b val="true"/>
      <sz val="10"/>
      <color rgb="FFFFFFFF"/>
      <name val="Arial"/>
      <family val="0"/>
      <charset val="1"/>
    </font>
    <font>
      <sz val="10"/>
      <name val="Arial"/>
      <family val="2"/>
    </font>
    <font>
      <b val="true"/>
      <sz val="10"/>
      <color rgb="FF008000"/>
      <name val="Arial"/>
      <family val="0"/>
      <charset val="1"/>
    </font>
    <font>
      <b val="true"/>
      <sz val="10"/>
      <color rgb="FF0000FF"/>
      <name val="Arial"/>
      <family val="0"/>
      <charset val="1"/>
    </font>
  </fonts>
  <fills count="6">
    <fill>
      <patternFill patternType="none"/>
    </fill>
    <fill>
      <patternFill patternType="gray125"/>
    </fill>
    <fill>
      <patternFill patternType="solid">
        <fgColor rgb="FFDCE3EE"/>
        <bgColor rgb="FFF2F2F2"/>
      </patternFill>
    </fill>
    <fill>
      <patternFill patternType="solid">
        <fgColor rgb="FFFFFF00"/>
        <bgColor rgb="FFFFFF00"/>
      </patternFill>
    </fill>
    <fill>
      <patternFill patternType="solid">
        <fgColor rgb="FFF2F2F2"/>
        <bgColor rgb="FFFFFFFF"/>
      </patternFill>
    </fill>
    <fill>
      <patternFill patternType="solid">
        <fgColor rgb="FF1F2A44"/>
        <bgColor rgb="FF003366"/>
      </patternFill>
    </fill>
  </fills>
  <borders count="2">
    <border diagonalUp="false" diagonalDown="false">
      <left/>
      <right/>
      <top/>
      <bottom/>
      <diagonal/>
    </border>
    <border diagonalUp="false" diagonalDown="false">
      <left/>
      <right/>
      <top style="thin">
        <color rgb="FF808080"/>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3" borderId="0" xfId="0" applyFont="true" applyBorder="false" applyAlignment="true" applyProtection="false">
      <alignment horizontal="center" vertical="center" textRotation="0" wrapText="false" indent="0" shrinkToFit="false"/>
      <protection locked="true" hidden="false"/>
    </xf>
    <xf numFmtId="164" fontId="10" fillId="5" borderId="0" xfId="0" applyFont="true" applyBorder="false" applyAlignment="false" applyProtection="false">
      <alignment horizontal="general" vertical="bottom" textRotation="0" wrapText="false" indent="0" shrinkToFit="false"/>
      <protection locked="true" hidden="false"/>
    </xf>
    <xf numFmtId="164" fontId="10" fillId="5"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6" fontId="9" fillId="0" borderId="0" xfId="0" applyFont="true" applyBorder="false" applyAlignment="true" applyProtection="false">
      <alignment horizontal="center" vertical="center" textRotation="0" wrapText="false" indent="0" shrinkToFit="false"/>
      <protection locked="true" hidden="false"/>
    </xf>
    <xf numFmtId="166" fontId="6" fillId="0" borderId="0" xfId="0" applyFont="true" applyBorder="false" applyAlignment="true" applyProtection="false">
      <alignment horizontal="center" vertical="center"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center" vertical="center" textRotation="0" wrapText="false" indent="0" shrinkToFit="false"/>
      <protection locked="true" hidden="false"/>
    </xf>
    <xf numFmtId="165" fontId="6" fillId="0"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5" fontId="8" fillId="4" borderId="0" xfId="0" applyFont="true" applyBorder="fals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5" fontId="6" fillId="4" borderId="1" xfId="0" applyFont="true" applyBorder="true" applyAlignment="false" applyProtection="false">
      <alignment horizontal="general" vertical="bottom" textRotation="0" wrapText="false" indent="0" shrinkToFit="false"/>
      <protection locked="true" hidden="false"/>
    </xf>
    <xf numFmtId="166" fontId="8" fillId="4" borderId="0" xfId="0" applyFont="true" applyBorder="false" applyAlignment="false" applyProtection="false">
      <alignment horizontal="general" vertical="bottom" textRotation="0" wrapText="false" indent="0" shrinkToFit="false"/>
      <protection locked="true" hidden="false"/>
    </xf>
    <xf numFmtId="165" fontId="6" fillId="4"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6" fontId="8" fillId="0" borderId="0" xfId="0" applyFont="true" applyBorder="false" applyAlignment="true" applyProtection="false">
      <alignment horizontal="center" vertical="center" textRotation="0" wrapText="false" indent="0" shrinkToFit="false"/>
      <protection locked="true" hidden="false"/>
    </xf>
    <xf numFmtId="165" fontId="8" fillId="0" borderId="0" xfId="0" applyFont="true" applyBorder="false" applyAlignment="true" applyProtection="false">
      <alignment horizontal="center" vertical="center" textRotation="0" wrapText="fals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8" fontId="8" fillId="0" borderId="0" xfId="0" applyFont="true" applyBorder="false" applyAlignment="true" applyProtection="false">
      <alignment horizontal="center" vertical="center"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6" fontId="13" fillId="2" borderId="0" xfId="0" applyFont="true" applyBorder="false" applyAlignment="true" applyProtection="false">
      <alignment horizontal="center" vertical="center"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CE3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str">
        <f aca="false">Assumptions!C5</f>
        <v>Base</v>
      </c>
    </row>
    <row r="5" customFormat="false" ht="15" hidden="false" customHeight="false" outlineLevel="0" collapsed="false">
      <c r="A5" s="3" t="s">
        <v>3</v>
      </c>
      <c r="B5" s="4" t="str">
        <f aca="false">Checks!C4</f>
        <v>ALL OK</v>
      </c>
    </row>
    <row r="7" customFormat="false" ht="15" hidden="false" customHeight="false" outlineLevel="0" collapsed="false">
      <c r="A7" s="5" t="s">
        <v>4</v>
      </c>
      <c r="B7" s="6"/>
    </row>
    <row r="8" customFormat="false" ht="15" hidden="false" customHeight="false" outlineLevel="0" collapsed="false">
      <c r="A8" s="3" t="s">
        <v>5</v>
      </c>
      <c r="B8" s="7" t="s">
        <v>6</v>
      </c>
    </row>
    <row r="9" customFormat="false" ht="15" hidden="false" customHeight="false" outlineLevel="0" collapsed="false">
      <c r="A9" s="3" t="s">
        <v>7</v>
      </c>
      <c r="B9" s="7" t="s">
        <v>8</v>
      </c>
    </row>
    <row r="10" customFormat="false" ht="15" hidden="false" customHeight="false" outlineLevel="0" collapsed="false">
      <c r="A10" s="3" t="s">
        <v>9</v>
      </c>
      <c r="B10" s="7" t="s">
        <v>10</v>
      </c>
    </row>
    <row r="11" customFormat="false" ht="15" hidden="false" customHeight="false" outlineLevel="0" collapsed="false">
      <c r="A11" s="3" t="s">
        <v>11</v>
      </c>
      <c r="B11" s="7" t="s">
        <v>12</v>
      </c>
    </row>
    <row r="12" customFormat="false" ht="15" hidden="false" customHeight="false" outlineLevel="0" collapsed="false">
      <c r="A12" s="3" t="s">
        <v>13</v>
      </c>
      <c r="B12" s="7" t="s">
        <v>14</v>
      </c>
    </row>
    <row r="13" customFormat="false" ht="15" hidden="false" customHeight="false" outlineLevel="0" collapsed="false">
      <c r="A13" s="3" t="s">
        <v>15</v>
      </c>
      <c r="B13" s="7" t="s">
        <v>16</v>
      </c>
    </row>
    <row r="14" customFormat="false" ht="15" hidden="false" customHeight="false" outlineLevel="0" collapsed="false">
      <c r="A14" s="3" t="s">
        <v>17</v>
      </c>
      <c r="B14" s="7" t="s">
        <v>18</v>
      </c>
    </row>
    <row r="15" customFormat="false" ht="15" hidden="false" customHeight="false" outlineLevel="0" collapsed="false">
      <c r="A15" s="3" t="s">
        <v>19</v>
      </c>
      <c r="B15" s="7" t="s">
        <v>20</v>
      </c>
    </row>
    <row r="16" customFormat="false" ht="15" hidden="false" customHeight="false" outlineLevel="0" collapsed="false">
      <c r="A16" s="3" t="s">
        <v>21</v>
      </c>
      <c r="B16" s="7" t="s">
        <v>22</v>
      </c>
    </row>
    <row r="17" customFormat="false" ht="15" hidden="false" customHeight="false" outlineLevel="0" collapsed="false">
      <c r="A17" s="3" t="s">
        <v>23</v>
      </c>
      <c r="B17" s="7" t="s">
        <v>24</v>
      </c>
    </row>
    <row r="18" customFormat="false" ht="15" hidden="false" customHeight="false" outlineLevel="0" collapsed="false">
      <c r="A18" s="3" t="s">
        <v>25</v>
      </c>
      <c r="B18" s="7" t="s">
        <v>26</v>
      </c>
    </row>
    <row r="20" customFormat="false" ht="15" hidden="false" customHeight="false" outlineLevel="0" collapsed="false">
      <c r="A20" s="5" t="s">
        <v>27</v>
      </c>
      <c r="B20" s="6"/>
    </row>
    <row r="21" customFormat="false" ht="15" hidden="false" customHeight="false" outlineLevel="0" collapsed="false">
      <c r="A21" s="8" t="n">
        <v>1234</v>
      </c>
      <c r="B21" s="7" t="s">
        <v>28</v>
      </c>
    </row>
    <row r="22" customFormat="false" ht="15" hidden="false" customHeight="false" outlineLevel="0" collapsed="false">
      <c r="A22" s="9" t="n">
        <v>1234</v>
      </c>
      <c r="B22" s="7" t="s">
        <v>29</v>
      </c>
    </row>
    <row r="23" customFormat="false" ht="15" hidden="false" customHeight="false" outlineLevel="0" collapsed="false">
      <c r="A23" s="10" t="n">
        <v>1234</v>
      </c>
      <c r="B23" s="7" t="s">
        <v>30</v>
      </c>
    </row>
    <row r="24" customFormat="false" ht="15" hidden="false" customHeight="false" outlineLevel="0" collapsed="false">
      <c r="A24" s="11"/>
      <c r="B24" s="7" t="s">
        <v>31</v>
      </c>
    </row>
    <row r="25" customFormat="false" ht="15" hidden="false" customHeight="false" outlineLevel="0" collapsed="false">
      <c r="A25" s="12"/>
      <c r="B25" s="7" t="s">
        <v>32</v>
      </c>
    </row>
    <row r="27" customFormat="false" ht="15" hidden="false" customHeight="false" outlineLevel="0" collapsed="false">
      <c r="A27" s="5" t="s">
        <v>33</v>
      </c>
      <c r="B27" s="6"/>
    </row>
    <row r="28" customFormat="false" ht="42" hidden="false" customHeight="true" outlineLevel="0" collapsed="false">
      <c r="B28" s="13"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6" min="3" style="0" width="11"/>
    <col collapsed="false" customWidth="true" hidden="false" outlineLevel="0" max="7" min="7" style="0" width="100"/>
  </cols>
  <sheetData>
    <row r="1" customFormat="false" ht="17.35" hidden="false" customHeight="false" outlineLevel="0" collapsed="false">
      <c r="A1" s="1" t="s">
        <v>5</v>
      </c>
    </row>
    <row r="2" customFormat="false" ht="15" hidden="false" customHeight="false" outlineLevel="0" collapsed="false">
      <c r="A2" s="2" t="s">
        <v>35</v>
      </c>
    </row>
    <row r="5" customFormat="false" ht="15" hidden="false" customHeight="false" outlineLevel="0" collapsed="false">
      <c r="A5" s="3" t="s">
        <v>36</v>
      </c>
      <c r="B5" s="14" t="n">
        <v>1</v>
      </c>
      <c r="C5" s="3" t="str">
        <f aca="false">CHOOSE(B5,"Base","Bull","Bear")</f>
        <v>Base</v>
      </c>
    </row>
    <row r="7" customFormat="false" ht="15" hidden="false" customHeight="false" outlineLevel="0" collapsed="false">
      <c r="A7" s="15" t="s">
        <v>37</v>
      </c>
      <c r="B7" s="16" t="s">
        <v>38</v>
      </c>
      <c r="C7" s="16" t="s">
        <v>39</v>
      </c>
      <c r="D7" s="16" t="s">
        <v>40</v>
      </c>
      <c r="E7" s="16" t="s">
        <v>41</v>
      </c>
      <c r="F7" s="16" t="s">
        <v>42</v>
      </c>
      <c r="G7" s="16" t="s">
        <v>43</v>
      </c>
    </row>
    <row r="8" customFormat="false" ht="15" hidden="false" customHeight="false" outlineLevel="0" collapsed="false">
      <c r="A8" s="7" t="s">
        <v>44</v>
      </c>
      <c r="B8" s="17" t="s">
        <v>45</v>
      </c>
      <c r="C8" s="18" t="n">
        <v>-0.27</v>
      </c>
      <c r="D8" s="18" t="n">
        <v>-0.22</v>
      </c>
      <c r="E8" s="18" t="n">
        <v>-0.32</v>
      </c>
      <c r="F8" s="19" t="n">
        <f aca="false">CHOOSE($B$5,C8,D8,E8)</f>
        <v>-0.27</v>
      </c>
      <c r="G8" s="7" t="s">
        <v>46</v>
      </c>
    </row>
    <row r="9" customFormat="false" ht="15" hidden="false" customHeight="false" outlineLevel="0" collapsed="false">
      <c r="A9" s="7" t="s">
        <v>44</v>
      </c>
      <c r="B9" s="17" t="s">
        <v>47</v>
      </c>
      <c r="C9" s="18" t="n">
        <v>-0.12</v>
      </c>
      <c r="D9" s="18" t="n">
        <v>-0.05</v>
      </c>
      <c r="E9" s="18" t="n">
        <v>-0.2</v>
      </c>
      <c r="F9" s="19" t="n">
        <f aca="false">CHOOSE($B$5,C9,D9,E9)</f>
        <v>-0.12</v>
      </c>
      <c r="G9" s="7" t="s">
        <v>48</v>
      </c>
    </row>
    <row r="10" customFormat="false" ht="15" hidden="false" customHeight="false" outlineLevel="0" collapsed="false">
      <c r="A10" s="7" t="s">
        <v>49</v>
      </c>
      <c r="B10" s="17" t="s">
        <v>45</v>
      </c>
      <c r="C10" s="18" t="n">
        <v>0.6</v>
      </c>
      <c r="D10" s="18" t="n">
        <v>0.65</v>
      </c>
      <c r="E10" s="18" t="n">
        <v>0.5</v>
      </c>
      <c r="F10" s="19" t="n">
        <f aca="false">CHOOSE($B$5,C10,D10,E10)</f>
        <v>0.6</v>
      </c>
      <c r="G10" s="7" t="s">
        <v>50</v>
      </c>
    </row>
    <row r="11" customFormat="false" ht="15" hidden="false" customHeight="false" outlineLevel="0" collapsed="false">
      <c r="A11" s="7" t="s">
        <v>49</v>
      </c>
      <c r="B11" s="17" t="s">
        <v>47</v>
      </c>
      <c r="C11" s="18" t="n">
        <v>0.3</v>
      </c>
      <c r="D11" s="18" t="n">
        <v>0.4</v>
      </c>
      <c r="E11" s="18" t="n">
        <v>0.2</v>
      </c>
      <c r="F11" s="19" t="n">
        <f aca="false">CHOOSE($B$5,C11,D11,E11)</f>
        <v>0.3</v>
      </c>
      <c r="G11" s="7" t="s">
        <v>51</v>
      </c>
    </row>
    <row r="12" customFormat="false" ht="15" hidden="false" customHeight="false" outlineLevel="0" collapsed="false">
      <c r="A12" s="7" t="s">
        <v>52</v>
      </c>
      <c r="B12" s="17" t="s">
        <v>45</v>
      </c>
      <c r="C12" s="18" t="n">
        <v>0.09</v>
      </c>
      <c r="D12" s="18" t="n">
        <v>0.12</v>
      </c>
      <c r="E12" s="18" t="n">
        <v>0.05</v>
      </c>
      <c r="F12" s="19" t="n">
        <f aca="false">CHOOSE($B$5,C12,D12,E12)</f>
        <v>0.09</v>
      </c>
      <c r="G12" s="7" t="s">
        <v>53</v>
      </c>
    </row>
    <row r="13" customFormat="false" ht="15" hidden="false" customHeight="false" outlineLevel="0" collapsed="false">
      <c r="A13" s="7" t="s">
        <v>52</v>
      </c>
      <c r="B13" s="17" t="s">
        <v>47</v>
      </c>
      <c r="C13" s="18" t="n">
        <v>0.1</v>
      </c>
      <c r="D13" s="18" t="n">
        <v>0.15</v>
      </c>
      <c r="E13" s="18" t="n">
        <v>0.05</v>
      </c>
      <c r="F13" s="19" t="n">
        <f aca="false">CHOOSE($B$5,C13,D13,E13)</f>
        <v>0.1</v>
      </c>
      <c r="G13" s="7" t="s">
        <v>54</v>
      </c>
    </row>
    <row r="14" customFormat="false" ht="15" hidden="false" customHeight="false" outlineLevel="0" collapsed="false">
      <c r="A14" s="7" t="s">
        <v>55</v>
      </c>
      <c r="B14" s="17" t="s">
        <v>45</v>
      </c>
      <c r="C14" s="18" t="n">
        <v>-0.08</v>
      </c>
      <c r="D14" s="18" t="n">
        <v>-0.01</v>
      </c>
      <c r="E14" s="18" t="n">
        <v>-0.14</v>
      </c>
      <c r="F14" s="19" t="n">
        <f aca="false">CHOOSE($B$5,C14,D14,E14)</f>
        <v>-0.08</v>
      </c>
      <c r="G14" s="7" t="s">
        <v>56</v>
      </c>
    </row>
    <row r="15" customFormat="false" ht="15" hidden="false" customHeight="false" outlineLevel="0" collapsed="false">
      <c r="A15" s="7" t="s">
        <v>55</v>
      </c>
      <c r="B15" s="17" t="s">
        <v>47</v>
      </c>
      <c r="C15" s="18" t="n">
        <v>-0.03</v>
      </c>
      <c r="D15" s="18" t="n">
        <v>0.01</v>
      </c>
      <c r="E15" s="18" t="n">
        <v>-0.07</v>
      </c>
      <c r="F15" s="19" t="n">
        <f aca="false">CHOOSE($B$5,C15,D15,E15)</f>
        <v>-0.03</v>
      </c>
      <c r="G15" s="7" t="s">
        <v>57</v>
      </c>
    </row>
    <row r="16" customFormat="false" ht="15" hidden="false" customHeight="false" outlineLevel="0" collapsed="false">
      <c r="A16" s="7" t="s">
        <v>58</v>
      </c>
      <c r="B16" s="17" t="s">
        <v>45</v>
      </c>
      <c r="C16" s="18" t="n">
        <v>0.24</v>
      </c>
      <c r="D16" s="18" t="n">
        <v>0.25</v>
      </c>
      <c r="E16" s="18" t="n">
        <v>0.23</v>
      </c>
      <c r="F16" s="19" t="n">
        <f aca="false">CHOOSE($B$5,C16,D16,E16)</f>
        <v>0.24</v>
      </c>
      <c r="G16" s="7" t="s">
        <v>59</v>
      </c>
    </row>
    <row r="17" customFormat="false" ht="15" hidden="false" customHeight="false" outlineLevel="0" collapsed="false">
      <c r="A17" s="7" t="s">
        <v>58</v>
      </c>
      <c r="B17" s="17" t="s">
        <v>47</v>
      </c>
      <c r="C17" s="18" t="n">
        <v>0.26</v>
      </c>
      <c r="D17" s="18" t="n">
        <v>0.29</v>
      </c>
      <c r="E17" s="18" t="n">
        <v>0.23</v>
      </c>
      <c r="F17" s="19" t="n">
        <f aca="false">CHOOSE($B$5,C17,D17,E17)</f>
        <v>0.26</v>
      </c>
      <c r="G17" s="7" t="s">
        <v>60</v>
      </c>
    </row>
    <row r="18" customFormat="false" ht="15" hidden="false" customHeight="false" outlineLevel="0" collapsed="false">
      <c r="A18" s="7" t="s">
        <v>61</v>
      </c>
      <c r="B18" s="17" t="s">
        <v>45</v>
      </c>
      <c r="C18" s="18" t="n">
        <v>0.7</v>
      </c>
      <c r="D18" s="18" t="n">
        <v>0.72</v>
      </c>
      <c r="E18" s="18" t="n">
        <v>0.67</v>
      </c>
      <c r="F18" s="19" t="n">
        <f aca="false">CHOOSE($B$5,C18,D18,E18)</f>
        <v>0.7</v>
      </c>
      <c r="G18" s="7" t="s">
        <v>62</v>
      </c>
    </row>
    <row r="19" customFormat="false" ht="15" hidden="false" customHeight="false" outlineLevel="0" collapsed="false">
      <c r="A19" s="7" t="s">
        <v>61</v>
      </c>
      <c r="B19" s="17" t="s">
        <v>47</v>
      </c>
      <c r="C19" s="18" t="n">
        <v>0.7</v>
      </c>
      <c r="D19" s="18" t="n">
        <v>0.73</v>
      </c>
      <c r="E19" s="18" t="n">
        <v>0.67</v>
      </c>
      <c r="F19" s="19" t="n">
        <f aca="false">CHOOSE($B$5,C19,D19,E19)</f>
        <v>0.7</v>
      </c>
      <c r="G19" s="7" t="s">
        <v>63</v>
      </c>
    </row>
    <row r="21" customFormat="false" ht="15" hidden="false" customHeight="false" outlineLevel="0" collapsed="false">
      <c r="A21" s="2" t="s">
        <v>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13" min="3" style="0" width="11"/>
  </cols>
  <sheetData>
    <row r="1" customFormat="false" ht="17.35" hidden="false" customHeight="false" outlineLevel="0" collapsed="false">
      <c r="A1" s="1" t="s">
        <v>7</v>
      </c>
    </row>
    <row r="2" customFormat="false" ht="15" hidden="false" customHeight="false" outlineLevel="0" collapsed="false">
      <c r="A2" s="2" t="s">
        <v>65</v>
      </c>
    </row>
    <row r="4" customFormat="false" ht="15" hidden="false" customHeight="false" outlineLevel="0" collapsed="false">
      <c r="A4" s="15" t="s">
        <v>66</v>
      </c>
      <c r="B4" s="16" t="s">
        <v>67</v>
      </c>
      <c r="C4" s="16" t="s">
        <v>68</v>
      </c>
      <c r="D4" s="16" t="s">
        <v>69</v>
      </c>
      <c r="E4" s="16" t="s">
        <v>70</v>
      </c>
      <c r="F4" s="16" t="s">
        <v>71</v>
      </c>
      <c r="G4" s="16" t="s">
        <v>72</v>
      </c>
      <c r="H4" s="16" t="s">
        <v>73</v>
      </c>
      <c r="I4" s="16" t="s">
        <v>74</v>
      </c>
      <c r="J4" s="16" t="s">
        <v>75</v>
      </c>
      <c r="K4" s="16" t="s">
        <v>76</v>
      </c>
      <c r="L4" s="16" t="s">
        <v>77</v>
      </c>
      <c r="M4" s="16" t="s">
        <v>78</v>
      </c>
    </row>
    <row r="5" customFormat="false" ht="15" hidden="false" customHeight="false" outlineLevel="0" collapsed="false">
      <c r="A5" s="7" t="s">
        <v>79</v>
      </c>
      <c r="C5" s="17" t="s">
        <v>80</v>
      </c>
      <c r="D5" s="17" t="s">
        <v>81</v>
      </c>
      <c r="E5" s="17" t="s">
        <v>82</v>
      </c>
      <c r="F5" s="17" t="s">
        <v>83</v>
      </c>
      <c r="G5" s="17" t="s">
        <v>84</v>
      </c>
      <c r="H5" s="17" t="s">
        <v>85</v>
      </c>
      <c r="I5" s="17" t="s">
        <v>86</v>
      </c>
      <c r="J5" s="17" t="s">
        <v>87</v>
      </c>
      <c r="K5" s="17" t="s">
        <v>88</v>
      </c>
      <c r="L5" s="17" t="s">
        <v>89</v>
      </c>
      <c r="M5" s="17" t="s">
        <v>90</v>
      </c>
    </row>
    <row r="6" customFormat="false" ht="15" hidden="false" customHeight="false" outlineLevel="0" collapsed="false">
      <c r="A6" s="7" t="s">
        <v>91</v>
      </c>
      <c r="C6" s="17" t="s">
        <v>92</v>
      </c>
      <c r="D6" s="17" t="s">
        <v>93</v>
      </c>
      <c r="E6" s="17" t="s">
        <v>94</v>
      </c>
      <c r="F6" s="17" t="s">
        <v>95</v>
      </c>
      <c r="G6" s="17" t="s">
        <v>96</v>
      </c>
      <c r="H6" s="17" t="s">
        <v>97</v>
      </c>
      <c r="I6" s="17" t="s">
        <v>98</v>
      </c>
      <c r="J6" s="17" t="s">
        <v>99</v>
      </c>
      <c r="K6" s="17" t="s">
        <v>100</v>
      </c>
      <c r="L6" s="17" t="s">
        <v>101</v>
      </c>
      <c r="M6" s="17" t="s">
        <v>102</v>
      </c>
    </row>
    <row r="8" customFormat="false" ht="15" hidden="false" customHeight="false" outlineLevel="0" collapsed="false">
      <c r="A8" s="5" t="s">
        <v>103</v>
      </c>
      <c r="B8" s="6"/>
      <c r="C8" s="6"/>
      <c r="D8" s="6"/>
      <c r="E8" s="6"/>
      <c r="F8" s="6"/>
      <c r="G8" s="6"/>
      <c r="H8" s="6"/>
      <c r="I8" s="6"/>
      <c r="J8" s="6"/>
      <c r="K8" s="6"/>
      <c r="L8" s="6"/>
      <c r="M8" s="6"/>
    </row>
    <row r="9" customFormat="false" ht="15" hidden="false" customHeight="false" outlineLevel="0" collapsed="false">
      <c r="A9" s="7" t="s">
        <v>104</v>
      </c>
      <c r="B9" s="17" t="s">
        <v>105</v>
      </c>
      <c r="C9" s="8" t="n">
        <v>6687</v>
      </c>
      <c r="D9" s="8" t="n">
        <v>6180</v>
      </c>
      <c r="E9" s="8" t="n">
        <v>5899</v>
      </c>
      <c r="F9" s="8" t="n">
        <v>6096</v>
      </c>
      <c r="G9" s="8" t="n">
        <v>7574</v>
      </c>
      <c r="H9" s="8" t="n">
        <v>6929</v>
      </c>
      <c r="I9" s="8" t="n">
        <v>6328</v>
      </c>
      <c r="J9" s="8" t="n">
        <v>6961</v>
      </c>
      <c r="K9" s="8" t="n">
        <v>7824</v>
      </c>
      <c r="L9" s="8" t="n">
        <v>6024</v>
      </c>
      <c r="M9" s="8" t="n">
        <v>5086</v>
      </c>
    </row>
    <row r="10" customFormat="false" ht="15" hidden="false" customHeight="false" outlineLevel="0" collapsed="false">
      <c r="A10" s="7" t="s">
        <v>106</v>
      </c>
      <c r="B10" s="17" t="s">
        <v>105</v>
      </c>
      <c r="C10" s="8" t="n">
        <v>598</v>
      </c>
      <c r="D10" s="8" t="n">
        <v>603</v>
      </c>
      <c r="E10" s="8" t="n">
        <v>811</v>
      </c>
      <c r="F10" s="8" t="n">
        <v>899</v>
      </c>
      <c r="G10" s="8" t="n">
        <v>961</v>
      </c>
      <c r="H10" s="8" t="n">
        <v>959</v>
      </c>
      <c r="I10" s="8" t="n">
        <v>984</v>
      </c>
      <c r="J10" s="8" t="n">
        <v>1053</v>
      </c>
      <c r="K10" s="8" t="n">
        <v>1101</v>
      </c>
      <c r="L10" s="8" t="n">
        <v>1326</v>
      </c>
      <c r="M10" s="8" t="n">
        <v>1588</v>
      </c>
    </row>
    <row r="11" customFormat="false" ht="15" hidden="false" customHeight="false" outlineLevel="0" collapsed="false">
      <c r="A11" s="7" t="s">
        <v>107</v>
      </c>
      <c r="B11" s="17" t="s">
        <v>105</v>
      </c>
      <c r="C11" s="8" t="n">
        <v>1138</v>
      </c>
      <c r="D11" s="8" t="n">
        <v>1243</v>
      </c>
      <c r="E11" s="8" t="n">
        <v>1359</v>
      </c>
      <c r="F11" s="8" t="n">
        <v>1683</v>
      </c>
      <c r="G11" s="8" t="n">
        <v>1549</v>
      </c>
      <c r="H11" s="8" t="n">
        <v>1581</v>
      </c>
      <c r="I11" s="8" t="n">
        <v>1681</v>
      </c>
      <c r="J11" s="8" t="n">
        <v>1807</v>
      </c>
      <c r="K11" s="8" t="n">
        <v>1688</v>
      </c>
      <c r="L11" s="8" t="n">
        <v>1726</v>
      </c>
      <c r="M11" s="8" t="n">
        <v>1830</v>
      </c>
    </row>
    <row r="12" customFormat="false" ht="15" hidden="false" customHeight="false" outlineLevel="0" collapsed="false">
      <c r="A12" s="3" t="s">
        <v>108</v>
      </c>
      <c r="B12" s="17" t="s">
        <v>105</v>
      </c>
      <c r="C12" s="8" t="n">
        <v>8423</v>
      </c>
      <c r="D12" s="8" t="n">
        <v>8026</v>
      </c>
      <c r="E12" s="8" t="n">
        <v>8069</v>
      </c>
      <c r="F12" s="8" t="n">
        <v>8678</v>
      </c>
      <c r="G12" s="8" t="n">
        <v>10084</v>
      </c>
      <c r="H12" s="8" t="n">
        <v>9469</v>
      </c>
      <c r="I12" s="8" t="n">
        <v>8993</v>
      </c>
      <c r="J12" s="8" t="n">
        <v>9821</v>
      </c>
      <c r="K12" s="8" t="n">
        <v>10613</v>
      </c>
      <c r="L12" s="8" t="n">
        <v>9076</v>
      </c>
      <c r="M12" s="8" t="n">
        <v>8504</v>
      </c>
    </row>
    <row r="13" customFormat="false" ht="15" hidden="false" customHeight="false" outlineLevel="0" collapsed="false">
      <c r="A13" s="7" t="s">
        <v>109</v>
      </c>
      <c r="B13" s="17" t="s">
        <v>105</v>
      </c>
      <c r="C13" s="8" t="n">
        <v>1460</v>
      </c>
      <c r="D13" s="8" t="n">
        <v>1318</v>
      </c>
      <c r="E13" s="8" t="n">
        <v>1273</v>
      </c>
      <c r="F13" s="8" t="n">
        <v>1521</v>
      </c>
      <c r="G13" s="8" t="n">
        <v>1535</v>
      </c>
      <c r="H13" s="8" t="n">
        <v>1319</v>
      </c>
      <c r="I13" s="8" t="n">
        <v>1318</v>
      </c>
      <c r="J13" s="8" t="n">
        <v>1409</v>
      </c>
      <c r="K13" s="8" t="n">
        <v>1592</v>
      </c>
      <c r="L13" s="8" t="n">
        <v>1382</v>
      </c>
      <c r="M13" s="8" t="n">
        <v>1278</v>
      </c>
    </row>
    <row r="14" customFormat="false" ht="15" hidden="false" customHeight="false" outlineLevel="0" collapsed="false">
      <c r="A14" s="3" t="s">
        <v>110</v>
      </c>
      <c r="B14" s="17" t="s">
        <v>105</v>
      </c>
      <c r="C14" s="20" t="n">
        <f aca="false">C12+C13</f>
        <v>9883</v>
      </c>
      <c r="D14" s="20" t="n">
        <f aca="false">D12+D13</f>
        <v>9344</v>
      </c>
      <c r="E14" s="20" t="n">
        <f aca="false">E12+E13</f>
        <v>9342</v>
      </c>
      <c r="F14" s="20" t="n">
        <f aca="false">F12+F13</f>
        <v>10199</v>
      </c>
      <c r="G14" s="20" t="n">
        <f aca="false">G12+G13</f>
        <v>11619</v>
      </c>
      <c r="H14" s="20" t="n">
        <f aca="false">H12+H13</f>
        <v>10788</v>
      </c>
      <c r="I14" s="20" t="n">
        <f aca="false">I12+I13</f>
        <v>10311</v>
      </c>
      <c r="J14" s="20" t="n">
        <f aca="false">J12+J13</f>
        <v>11230</v>
      </c>
      <c r="K14" s="20" t="n">
        <f aca="false">K12+K13</f>
        <v>12205</v>
      </c>
      <c r="L14" s="20" t="n">
        <f aca="false">L12+L13</f>
        <v>10458</v>
      </c>
      <c r="M14" s="20" t="n">
        <f aca="false">M12+M13</f>
        <v>9782</v>
      </c>
    </row>
    <row r="16" customFormat="false" ht="15" hidden="false" customHeight="false" outlineLevel="0" collapsed="false">
      <c r="A16" s="5" t="s">
        <v>111</v>
      </c>
      <c r="B16" s="6"/>
      <c r="C16" s="6"/>
      <c r="D16" s="6"/>
      <c r="E16" s="6"/>
      <c r="F16" s="6"/>
      <c r="G16" s="6"/>
      <c r="H16" s="6"/>
      <c r="I16" s="6"/>
      <c r="J16" s="6"/>
      <c r="K16" s="6"/>
      <c r="L16" s="6"/>
      <c r="M16" s="6"/>
    </row>
    <row r="17" customFormat="false" ht="15" hidden="false" customHeight="false" outlineLevel="0" collapsed="false">
      <c r="A17" s="7" t="s">
        <v>112</v>
      </c>
      <c r="B17" s="17" t="s">
        <v>105</v>
      </c>
      <c r="C17" s="8" t="n">
        <v>2593</v>
      </c>
      <c r="D17" s="8" t="n">
        <v>2288</v>
      </c>
      <c r="E17" s="8" t="n">
        <v>2181</v>
      </c>
      <c r="F17" s="8" t="n">
        <v>2465</v>
      </c>
      <c r="G17" s="8" t="n">
        <v>3246</v>
      </c>
      <c r="H17" s="8" t="n">
        <v>2857</v>
      </c>
      <c r="I17" s="8" t="n">
        <v>2671</v>
      </c>
      <c r="J17" s="8" t="n">
        <v>2896</v>
      </c>
      <c r="K17" s="8" t="n">
        <v>3302</v>
      </c>
      <c r="L17" s="8" t="n">
        <v>2465</v>
      </c>
      <c r="M17" s="8" t="n">
        <v>2192</v>
      </c>
    </row>
    <row r="18" customFormat="false" ht="15" hidden="false" customHeight="false" outlineLevel="0" collapsed="false">
      <c r="A18" s="7" t="s">
        <v>113</v>
      </c>
      <c r="B18" s="17" t="s">
        <v>105</v>
      </c>
      <c r="C18" s="8" t="n">
        <v>1080</v>
      </c>
      <c r="D18" s="8" t="n">
        <v>933</v>
      </c>
      <c r="E18" s="8" t="n">
        <v>894</v>
      </c>
      <c r="F18" s="8" t="n">
        <v>1120</v>
      </c>
      <c r="G18" s="8" t="n">
        <v>1158</v>
      </c>
      <c r="H18" s="8" t="n">
        <v>929</v>
      </c>
      <c r="I18" s="8" t="n">
        <v>942</v>
      </c>
      <c r="J18" s="8" t="n">
        <v>1015</v>
      </c>
      <c r="K18" s="8" t="n">
        <v>1231</v>
      </c>
      <c r="L18" s="8" t="n">
        <v>994</v>
      </c>
      <c r="M18" s="8" t="n">
        <v>881</v>
      </c>
    </row>
    <row r="19" customFormat="false" ht="15" hidden="false" customHeight="false" outlineLevel="0" collapsed="false">
      <c r="A19" s="3" t="s">
        <v>114</v>
      </c>
      <c r="B19" s="17" t="s">
        <v>105</v>
      </c>
      <c r="C19" s="20" t="n">
        <f aca="false">C17+C18</f>
        <v>3673</v>
      </c>
      <c r="D19" s="20" t="n">
        <f aca="false">D17+D18</f>
        <v>3221</v>
      </c>
      <c r="E19" s="20" t="n">
        <f aca="false">E17+E18</f>
        <v>3075</v>
      </c>
      <c r="F19" s="20" t="n">
        <f aca="false">F17+F18</f>
        <v>3585</v>
      </c>
      <c r="G19" s="20" t="n">
        <f aca="false">G17+G18</f>
        <v>4404</v>
      </c>
      <c r="H19" s="20" t="n">
        <f aca="false">H17+H18</f>
        <v>3786</v>
      </c>
      <c r="I19" s="20" t="n">
        <f aca="false">I17+I18</f>
        <v>3613</v>
      </c>
      <c r="J19" s="20" t="n">
        <f aca="false">J17+J18</f>
        <v>3911</v>
      </c>
      <c r="K19" s="20" t="n">
        <f aca="false">K17+K18</f>
        <v>4533</v>
      </c>
      <c r="L19" s="20" t="n">
        <f aca="false">L17+L18</f>
        <v>3459</v>
      </c>
      <c r="M19" s="20" t="n">
        <f aca="false">M17+M18</f>
        <v>3073</v>
      </c>
    </row>
    <row r="21" customFormat="false" ht="15" hidden="false" customHeight="false" outlineLevel="0" collapsed="false">
      <c r="A21" s="5" t="s">
        <v>115</v>
      </c>
      <c r="B21" s="6"/>
      <c r="C21" s="6"/>
      <c r="D21" s="6"/>
      <c r="E21" s="6"/>
      <c r="F21" s="6"/>
      <c r="G21" s="6"/>
      <c r="H21" s="6"/>
      <c r="I21" s="6"/>
      <c r="J21" s="6"/>
      <c r="K21" s="6"/>
      <c r="L21" s="6"/>
      <c r="M21" s="6"/>
    </row>
    <row r="22" customFormat="false" ht="15" hidden="false" customHeight="false" outlineLevel="0" collapsed="false">
      <c r="A22" s="7" t="s">
        <v>58</v>
      </c>
      <c r="B22" s="17" t="s">
        <v>116</v>
      </c>
      <c r="C22" s="21" t="n">
        <f aca="false">IF(C12=0,0,C17/C12)</f>
        <v>0.307847560251692</v>
      </c>
      <c r="D22" s="21" t="n">
        <f aca="false">IF(D12=0,0,D17/D12)</f>
        <v>0.285073511088961</v>
      </c>
      <c r="E22" s="21" t="n">
        <f aca="false">IF(E12=0,0,E17/E12)</f>
        <v>0.270293716693518</v>
      </c>
      <c r="F22" s="21" t="n">
        <f aca="false">IF(F12=0,0,F17/F12)</f>
        <v>0.284051624798341</v>
      </c>
      <c r="G22" s="21" t="n">
        <f aca="false">IF(G12=0,0,G17/G12)</f>
        <v>0.32189607298691</v>
      </c>
      <c r="H22" s="21" t="n">
        <f aca="false">IF(H12=0,0,H17/H12)</f>
        <v>0.301721406695533</v>
      </c>
      <c r="I22" s="21" t="n">
        <f aca="false">IF(I12=0,0,I17/I12)</f>
        <v>0.297008784610252</v>
      </c>
      <c r="J22" s="21" t="n">
        <f aca="false">IF(J12=0,0,J17/J12)</f>
        <v>0.29487832196314</v>
      </c>
      <c r="K22" s="21" t="n">
        <f aca="false">IF(K12=0,0,K17/K12)</f>
        <v>0.311127862055969</v>
      </c>
      <c r="L22" s="21" t="n">
        <f aca="false">IF(L12=0,0,L17/L12)</f>
        <v>0.271595416483032</v>
      </c>
      <c r="M22" s="21" t="n">
        <f aca="false">IF(M12=0,0,M17/M12)</f>
        <v>0.257761053621825</v>
      </c>
    </row>
    <row r="23" customFormat="false" ht="15" hidden="false" customHeight="false" outlineLevel="0" collapsed="false">
      <c r="A23" s="7" t="s">
        <v>61</v>
      </c>
      <c r="B23" s="17" t="s">
        <v>116</v>
      </c>
      <c r="C23" s="21" t="n">
        <f aca="false">IF(C13=0,0,C18/C13)</f>
        <v>0.73972602739726</v>
      </c>
      <c r="D23" s="21" t="n">
        <f aca="false">IF(D13=0,0,D18/D13)</f>
        <v>0.707890743550835</v>
      </c>
      <c r="E23" s="21" t="n">
        <f aca="false">IF(E13=0,0,E18/E13)</f>
        <v>0.702278083267871</v>
      </c>
      <c r="F23" s="21" t="n">
        <f aca="false">IF(F13=0,0,F18/F13)</f>
        <v>0.736357659434583</v>
      </c>
      <c r="G23" s="21" t="n">
        <f aca="false">IF(G13=0,0,G18/G13)</f>
        <v>0.754397394136808</v>
      </c>
      <c r="H23" s="21" t="n">
        <f aca="false">IF(H13=0,0,H18/H13)</f>
        <v>0.704321455648218</v>
      </c>
      <c r="I23" s="21" t="n">
        <f aca="false">IF(I13=0,0,I18/I13)</f>
        <v>0.714719271623672</v>
      </c>
      <c r="J23" s="21" t="n">
        <f aca="false">IF(J13=0,0,J18/J13)</f>
        <v>0.720369056068133</v>
      </c>
      <c r="K23" s="21" t="n">
        <f aca="false">IF(K13=0,0,K18/K13)</f>
        <v>0.773241206030151</v>
      </c>
      <c r="L23" s="21" t="n">
        <f aca="false">IF(L13=0,0,L18/L13)</f>
        <v>0.719247467438495</v>
      </c>
      <c r="M23" s="21" t="n">
        <f aca="false">IF(M13=0,0,M18/M13)</f>
        <v>0.689358372456964</v>
      </c>
    </row>
    <row r="25" customFormat="false" ht="15" hidden="false" customHeight="false" outlineLevel="0" collapsed="false">
      <c r="A25" s="5" t="s">
        <v>117</v>
      </c>
      <c r="B25" s="6"/>
      <c r="C25" s="6"/>
      <c r="D25" s="6"/>
      <c r="E25" s="6"/>
      <c r="F25" s="6"/>
      <c r="G25" s="6"/>
      <c r="H25" s="6"/>
      <c r="I25" s="6"/>
      <c r="J25" s="6"/>
      <c r="K25" s="6"/>
      <c r="L25" s="6"/>
      <c r="M25" s="6"/>
    </row>
    <row r="26" customFormat="false" ht="15" hidden="false" customHeight="false" outlineLevel="0" collapsed="false">
      <c r="A26" s="7" t="s">
        <v>104</v>
      </c>
      <c r="B26" s="17" t="s">
        <v>116</v>
      </c>
      <c r="C26" s="17" t="s">
        <v>118</v>
      </c>
      <c r="D26" s="17" t="s">
        <v>118</v>
      </c>
      <c r="E26" s="17" t="s">
        <v>118</v>
      </c>
      <c r="F26" s="17" t="s">
        <v>118</v>
      </c>
      <c r="G26" s="21" t="n">
        <f aca="false">IF(C9=0,0,G9/C9-1)</f>
        <v>0.132645431434126</v>
      </c>
      <c r="H26" s="21" t="n">
        <f aca="false">IF(D9=0,0,H9/D9-1)</f>
        <v>0.121197411003236</v>
      </c>
      <c r="I26" s="21" t="n">
        <f aca="false">IF(E9=0,0,I9/E9-1)</f>
        <v>0.0727241905407696</v>
      </c>
      <c r="J26" s="21" t="n">
        <f aca="false">IF(F9=0,0,J9/F9-1)</f>
        <v>0.141896325459318</v>
      </c>
      <c r="K26" s="21" t="n">
        <f aca="false">IF(G9=0,0,K9/G9-1)</f>
        <v>0.0330076577766041</v>
      </c>
      <c r="L26" s="21" t="n">
        <f aca="false">IF(H9=0,0,L9/H9-1)</f>
        <v>-0.13061047770241</v>
      </c>
      <c r="M26" s="21" t="n">
        <f aca="false">IF(I9=0,0,M9/I9-1)</f>
        <v>-0.196270543615676</v>
      </c>
    </row>
    <row r="27" customFormat="false" ht="15" hidden="false" customHeight="false" outlineLevel="0" collapsed="false">
      <c r="A27" s="7" t="s">
        <v>106</v>
      </c>
      <c r="B27" s="17" t="s">
        <v>116</v>
      </c>
      <c r="C27" s="17" t="s">
        <v>118</v>
      </c>
      <c r="D27" s="17" t="s">
        <v>118</v>
      </c>
      <c r="E27" s="17" t="s">
        <v>118</v>
      </c>
      <c r="F27" s="17" t="s">
        <v>118</v>
      </c>
      <c r="G27" s="21" t="n">
        <f aca="false">IF(C10=0,0,G10/C10-1)</f>
        <v>0.607023411371237</v>
      </c>
      <c r="H27" s="21" t="n">
        <f aca="false">IF(D10=0,0,H10/D10-1)</f>
        <v>0.590381426202322</v>
      </c>
      <c r="I27" s="21" t="n">
        <f aca="false">IF(E10=0,0,I10/E10-1)</f>
        <v>0.213316892725031</v>
      </c>
      <c r="J27" s="21" t="n">
        <f aca="false">IF(F10=0,0,J10/F10-1)</f>
        <v>0.171301446051168</v>
      </c>
      <c r="K27" s="21" t="n">
        <f aca="false">IF(G10=0,0,K10/G10-1)</f>
        <v>0.145681581685744</v>
      </c>
      <c r="L27" s="21" t="n">
        <f aca="false">IF(H10=0,0,L10/H10-1)</f>
        <v>0.382690302398332</v>
      </c>
      <c r="M27" s="21" t="n">
        <f aca="false">IF(I10=0,0,M10/I10-1)</f>
        <v>0.613821138211382</v>
      </c>
    </row>
    <row r="28" customFormat="false" ht="15" hidden="false" customHeight="false" outlineLevel="0" collapsed="false">
      <c r="A28" s="7" t="s">
        <v>107</v>
      </c>
      <c r="B28" s="17" t="s">
        <v>116</v>
      </c>
      <c r="C28" s="17" t="s">
        <v>118</v>
      </c>
      <c r="D28" s="17" t="s">
        <v>118</v>
      </c>
      <c r="E28" s="17" t="s">
        <v>118</v>
      </c>
      <c r="F28" s="17" t="s">
        <v>118</v>
      </c>
      <c r="G28" s="21" t="n">
        <f aca="false">IF(C11=0,0,G11/C11-1)</f>
        <v>0.36115992970123</v>
      </c>
      <c r="H28" s="21" t="n">
        <f aca="false">IF(D11=0,0,H11/D11-1)</f>
        <v>0.271922767497989</v>
      </c>
      <c r="I28" s="21" t="n">
        <f aca="false">IF(E11=0,0,I11/E11-1)</f>
        <v>0.236938925680648</v>
      </c>
      <c r="J28" s="21" t="n">
        <f aca="false">IF(F11=0,0,J11/F11-1)</f>
        <v>0.0736779560308971</v>
      </c>
      <c r="K28" s="21" t="n">
        <f aca="false">IF(G11=0,0,K11/G11-1)</f>
        <v>0.0897353131052292</v>
      </c>
      <c r="L28" s="21" t="n">
        <f aca="false">IF(H11=0,0,L11/H11-1)</f>
        <v>0.0917141049968375</v>
      </c>
      <c r="M28" s="21" t="n">
        <f aca="false">IF(I11=0,0,M11/I11-1)</f>
        <v>0.0886377156454492</v>
      </c>
    </row>
    <row r="29" customFormat="false" ht="15" hidden="false" customHeight="false" outlineLevel="0" collapsed="false">
      <c r="A29" s="7" t="s">
        <v>119</v>
      </c>
      <c r="B29" s="17" t="s">
        <v>116</v>
      </c>
      <c r="C29" s="17" t="s">
        <v>118</v>
      </c>
      <c r="D29" s="17" t="s">
        <v>118</v>
      </c>
      <c r="E29" s="17" t="s">
        <v>118</v>
      </c>
      <c r="F29" s="17" t="s">
        <v>118</v>
      </c>
      <c r="G29" s="21" t="n">
        <f aca="false">IF(C12=0,0,G12/C12-1)</f>
        <v>0.197198147928292</v>
      </c>
      <c r="H29" s="21" t="n">
        <f aca="false">IF(D12=0,0,H12/D12-1)</f>
        <v>0.179790680289061</v>
      </c>
      <c r="I29" s="21" t="n">
        <f aca="false">IF(E12=0,0,I12/E12-1)</f>
        <v>0.114512331143884</v>
      </c>
      <c r="J29" s="21" t="n">
        <f aca="false">IF(F12=0,0,J12/F12-1)</f>
        <v>0.131712376123531</v>
      </c>
      <c r="K29" s="21" t="n">
        <f aca="false">IF(G12=0,0,K12/G12-1)</f>
        <v>0.0524593415311385</v>
      </c>
      <c r="L29" s="21" t="n">
        <f aca="false">IF(H12=0,0,L12/H12-1)</f>
        <v>-0.0415038546837048</v>
      </c>
      <c r="M29" s="21" t="n">
        <f aca="false">IF(I12=0,0,M12/I12-1)</f>
        <v>-0.0543756254864894</v>
      </c>
    </row>
    <row r="30" customFormat="false" ht="15" hidden="false" customHeight="false" outlineLevel="0" collapsed="false">
      <c r="A30" s="7" t="s">
        <v>109</v>
      </c>
      <c r="B30" s="17" t="s">
        <v>116</v>
      </c>
      <c r="C30" s="17" t="s">
        <v>118</v>
      </c>
      <c r="D30" s="17" t="s">
        <v>118</v>
      </c>
      <c r="E30" s="17" t="s">
        <v>118</v>
      </c>
      <c r="F30" s="17" t="s">
        <v>118</v>
      </c>
      <c r="G30" s="21" t="n">
        <f aca="false">IF(C13=0,0,G13/C13-1)</f>
        <v>0.0513698630136987</v>
      </c>
      <c r="H30" s="21" t="n">
        <f aca="false">IF(D13=0,0,H13/D13-1)</f>
        <v>0.000758725341426514</v>
      </c>
      <c r="I30" s="21" t="n">
        <f aca="false">IF(E13=0,0,I13/E13-1)</f>
        <v>0.0353495679497251</v>
      </c>
      <c r="J30" s="21" t="n">
        <f aca="false">IF(F13=0,0,J13/F13-1)</f>
        <v>-0.0736357659434582</v>
      </c>
      <c r="K30" s="21" t="n">
        <f aca="false">IF(G13=0,0,K13/G13-1)</f>
        <v>0.0371335504885995</v>
      </c>
      <c r="L30" s="21" t="n">
        <f aca="false">IF(H13=0,0,L13/H13-1)</f>
        <v>0.0477634571645187</v>
      </c>
      <c r="M30" s="21" t="n">
        <f aca="false">IF(I13=0,0,M13/I13-1)</f>
        <v>-0.0303490136570561</v>
      </c>
    </row>
    <row r="32" customFormat="false" ht="15" hidden="false" customHeight="false" outlineLevel="0" collapsed="false">
      <c r="A32" s="5" t="s">
        <v>120</v>
      </c>
      <c r="B32" s="6"/>
      <c r="C32" s="6"/>
      <c r="D32" s="6"/>
      <c r="E32" s="6"/>
      <c r="F32" s="6"/>
      <c r="G32" s="6"/>
      <c r="H32" s="6"/>
      <c r="I32" s="6"/>
      <c r="J32" s="6"/>
      <c r="K32" s="6"/>
      <c r="L32" s="6"/>
      <c r="M32" s="6"/>
    </row>
    <row r="33" customFormat="false" ht="15" hidden="false" customHeight="false" outlineLevel="0" collapsed="false">
      <c r="A33" s="7" t="s">
        <v>121</v>
      </c>
      <c r="B33" s="17" t="s">
        <v>116</v>
      </c>
      <c r="C33" s="21" t="n">
        <f aca="false">C9/C12</f>
        <v>0.793897661165855</v>
      </c>
      <c r="D33" s="21" t="n">
        <f aca="false">D9/D12</f>
        <v>0.769997508098679</v>
      </c>
      <c r="E33" s="21" t="n">
        <f aca="false">E9/E12</f>
        <v>0.731069525343909</v>
      </c>
      <c r="F33" s="21" t="n">
        <f aca="false">F9/F12</f>
        <v>0.702466005992164</v>
      </c>
      <c r="G33" s="21" t="n">
        <f aca="false">G9/G12</f>
        <v>0.751090836969457</v>
      </c>
      <c r="H33" s="21" t="n">
        <f aca="false">H9/H12</f>
        <v>0.731756257260534</v>
      </c>
      <c r="I33" s="21" t="n">
        <f aca="false">I9/I12</f>
        <v>0.703658400978539</v>
      </c>
      <c r="J33" s="21" t="n">
        <f aca="false">J9/J12</f>
        <v>0.708787292536402</v>
      </c>
      <c r="K33" s="21" t="n">
        <f aca="false">K9/K12</f>
        <v>0.737209083199849</v>
      </c>
      <c r="L33" s="21" t="n">
        <f aca="false">L9/L12</f>
        <v>0.663728514764213</v>
      </c>
      <c r="M33" s="21" t="n">
        <f aca="false">M9/M12</f>
        <v>0.598071495766698</v>
      </c>
    </row>
    <row r="34" customFormat="false" ht="15" hidden="false" customHeight="false" outlineLevel="0" collapsed="false">
      <c r="A34" s="7" t="s">
        <v>122</v>
      </c>
      <c r="B34" s="17" t="s">
        <v>116</v>
      </c>
      <c r="C34" s="21" t="n">
        <f aca="false">(C10+C11)/C12</f>
        <v>0.206102338834145</v>
      </c>
      <c r="D34" s="21" t="n">
        <f aca="false">(D10+D11)/D12</f>
        <v>0.230002491901321</v>
      </c>
      <c r="E34" s="21" t="n">
        <f aca="false">(E10+E11)/E12</f>
        <v>0.268930474656091</v>
      </c>
      <c r="F34" s="21" t="n">
        <f aca="false">(F10+F11)/F12</f>
        <v>0.297533994007836</v>
      </c>
      <c r="G34" s="21" t="n">
        <f aca="false">(G10+G11)/G12</f>
        <v>0.248909163030543</v>
      </c>
      <c r="H34" s="21" t="n">
        <f aca="false">(H10+H11)/H12</f>
        <v>0.268243742739466</v>
      </c>
      <c r="I34" s="21" t="n">
        <f aca="false">(I10+I11)/I12</f>
        <v>0.296341599021461</v>
      </c>
      <c r="J34" s="21" t="n">
        <f aca="false">(J10+J11)/J12</f>
        <v>0.291212707463598</v>
      </c>
      <c r="K34" s="21" t="n">
        <f aca="false">(K10+K11)/K12</f>
        <v>0.262790916800151</v>
      </c>
      <c r="L34" s="21" t="n">
        <f aca="false">(L10+L11)/L12</f>
        <v>0.336271485235787</v>
      </c>
      <c r="M34" s="21" t="n">
        <f aca="false">(M10+M11)/M12</f>
        <v>0.401928504233302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14" min="3" style="0" width="11"/>
  </cols>
  <sheetData>
    <row r="1" customFormat="false" ht="17.35" hidden="false" customHeight="false" outlineLevel="0" collapsed="false">
      <c r="A1" s="1" t="s">
        <v>9</v>
      </c>
    </row>
    <row r="2" customFormat="false" ht="15" hidden="false" customHeight="false" outlineLevel="0" collapsed="false">
      <c r="A2" s="2" t="s">
        <v>123</v>
      </c>
    </row>
    <row r="4" customFormat="false" ht="15" hidden="false" customHeight="false" outlineLevel="0" collapsed="false">
      <c r="A4" s="15" t="s">
        <v>66</v>
      </c>
      <c r="B4" s="16" t="s">
        <v>67</v>
      </c>
      <c r="C4" s="16" t="s">
        <v>68</v>
      </c>
      <c r="D4" s="16" t="s">
        <v>69</v>
      </c>
      <c r="E4" s="16" t="s">
        <v>70</v>
      </c>
      <c r="F4" s="16" t="s">
        <v>71</v>
      </c>
      <c r="G4" s="16" t="s">
        <v>72</v>
      </c>
      <c r="H4" s="16" t="s">
        <v>73</v>
      </c>
      <c r="I4" s="16" t="s">
        <v>74</v>
      </c>
      <c r="J4" s="16" t="s">
        <v>75</v>
      </c>
      <c r="K4" s="16" t="s">
        <v>76</v>
      </c>
      <c r="L4" s="16" t="s">
        <v>77</v>
      </c>
      <c r="M4" s="16" t="s">
        <v>78</v>
      </c>
      <c r="N4" s="16" t="s">
        <v>45</v>
      </c>
    </row>
    <row r="5" customFormat="false" ht="15" hidden="false" customHeight="false" outlineLevel="0" collapsed="false">
      <c r="A5" s="7" t="s">
        <v>124</v>
      </c>
      <c r="C5" s="17" t="s">
        <v>118</v>
      </c>
      <c r="D5" s="17" t="s">
        <v>125</v>
      </c>
      <c r="E5" s="17" t="s">
        <v>126</v>
      </c>
      <c r="F5" s="17" t="s">
        <v>127</v>
      </c>
      <c r="G5" s="17" t="s">
        <v>128</v>
      </c>
      <c r="H5" s="17" t="s">
        <v>129</v>
      </c>
      <c r="I5" s="17" t="s">
        <v>130</v>
      </c>
      <c r="J5" s="17" t="s">
        <v>131</v>
      </c>
      <c r="K5" s="17" t="s">
        <v>132</v>
      </c>
      <c r="L5" s="17" t="s">
        <v>133</v>
      </c>
      <c r="M5" s="17" t="s">
        <v>134</v>
      </c>
      <c r="N5" s="17" t="s">
        <v>135</v>
      </c>
    </row>
    <row r="6" customFormat="false" ht="15" hidden="false" customHeight="false" outlineLevel="0" collapsed="false">
      <c r="A6" s="7" t="s">
        <v>91</v>
      </c>
      <c r="C6" s="17" t="s">
        <v>118</v>
      </c>
      <c r="D6" s="17" t="s">
        <v>92</v>
      </c>
      <c r="E6" s="17" t="s">
        <v>93</v>
      </c>
      <c r="F6" s="17" t="s">
        <v>94</v>
      </c>
      <c r="G6" s="17" t="s">
        <v>95</v>
      </c>
      <c r="H6" s="17" t="s">
        <v>96</v>
      </c>
      <c r="I6" s="17" t="s">
        <v>97</v>
      </c>
      <c r="J6" s="17" t="s">
        <v>98</v>
      </c>
      <c r="K6" s="17" t="s">
        <v>99</v>
      </c>
      <c r="L6" s="17" t="s">
        <v>100</v>
      </c>
      <c r="M6" s="17" t="s">
        <v>101</v>
      </c>
      <c r="N6" s="17" t="s">
        <v>102</v>
      </c>
    </row>
    <row r="8" customFormat="false" ht="15" hidden="false" customHeight="false" outlineLevel="0" collapsed="false">
      <c r="A8" s="5" t="s">
        <v>136</v>
      </c>
      <c r="B8" s="6"/>
      <c r="C8" s="6"/>
      <c r="D8" s="6"/>
      <c r="E8" s="6"/>
      <c r="F8" s="6"/>
      <c r="G8" s="6"/>
      <c r="H8" s="6"/>
      <c r="I8" s="6"/>
      <c r="J8" s="6"/>
      <c r="K8" s="6"/>
      <c r="L8" s="6"/>
      <c r="M8" s="6"/>
      <c r="N8" s="6"/>
    </row>
    <row r="9" customFormat="false" ht="15" hidden="false" customHeight="false" outlineLevel="0" collapsed="false">
      <c r="A9" s="7" t="s">
        <v>137</v>
      </c>
      <c r="B9" s="17" t="s">
        <v>105</v>
      </c>
      <c r="C9" s="17" t="s">
        <v>118</v>
      </c>
      <c r="D9" s="8" t="n">
        <v>8900</v>
      </c>
      <c r="E9" s="8" t="n">
        <v>8800</v>
      </c>
      <c r="F9" s="8" t="n">
        <v>9500</v>
      </c>
      <c r="G9" s="8" t="n">
        <v>10500</v>
      </c>
      <c r="H9" s="8" t="n">
        <v>10300</v>
      </c>
      <c r="I9" s="8" t="n">
        <v>9900</v>
      </c>
      <c r="J9" s="8" t="n">
        <v>10300</v>
      </c>
      <c r="K9" s="8" t="n">
        <v>11800</v>
      </c>
      <c r="L9" s="8" t="n">
        <v>10200</v>
      </c>
      <c r="M9" s="8" t="n">
        <v>9200</v>
      </c>
      <c r="N9" s="8" t="n">
        <v>9700</v>
      </c>
    </row>
    <row r="10" customFormat="false" ht="15" hidden="false" customHeight="false" outlineLevel="0" collapsed="false">
      <c r="A10" s="7" t="s">
        <v>138</v>
      </c>
      <c r="B10" s="17" t="s">
        <v>105</v>
      </c>
      <c r="C10" s="17" t="s">
        <v>118</v>
      </c>
      <c r="D10" s="8" t="n">
        <v>9700</v>
      </c>
      <c r="E10" s="8" t="n">
        <v>9600</v>
      </c>
      <c r="F10" s="8" t="n">
        <v>10300</v>
      </c>
      <c r="G10" s="8" t="n">
        <v>11300</v>
      </c>
      <c r="H10" s="8" t="n">
        <v>11200</v>
      </c>
      <c r="I10" s="8" t="n">
        <v>10700</v>
      </c>
      <c r="J10" s="8" t="n">
        <v>11100</v>
      </c>
      <c r="K10" s="8" t="n">
        <v>12600</v>
      </c>
      <c r="L10" s="8" t="n">
        <v>11000</v>
      </c>
      <c r="M10" s="8" t="n">
        <v>10000</v>
      </c>
      <c r="N10" s="8" t="n">
        <v>10500</v>
      </c>
    </row>
    <row r="11" customFormat="false" ht="15" hidden="false" customHeight="false" outlineLevel="0" collapsed="false">
      <c r="A11" s="3" t="s">
        <v>139</v>
      </c>
      <c r="B11" s="17" t="s">
        <v>105</v>
      </c>
      <c r="C11" s="17" t="s">
        <v>118</v>
      </c>
      <c r="D11" s="22" t="n">
        <f aca="false">AVERAGE(D9:D10)</f>
        <v>9300</v>
      </c>
      <c r="E11" s="22" t="n">
        <f aca="false">AVERAGE(E9:E10)</f>
        <v>9200</v>
      </c>
      <c r="F11" s="22" t="n">
        <f aca="false">AVERAGE(F9:F10)</f>
        <v>9900</v>
      </c>
      <c r="G11" s="22" t="n">
        <f aca="false">AVERAGE(G9:G10)</f>
        <v>10900</v>
      </c>
      <c r="H11" s="22" t="n">
        <f aca="false">AVERAGE(H9:H10)</f>
        <v>10750</v>
      </c>
      <c r="I11" s="22" t="n">
        <f aca="false">AVERAGE(I9:I10)</f>
        <v>10300</v>
      </c>
      <c r="J11" s="22" t="n">
        <f aca="false">AVERAGE(J9:J10)</f>
        <v>10700</v>
      </c>
      <c r="K11" s="22" t="n">
        <f aca="false">AVERAGE(K9:K10)</f>
        <v>12200</v>
      </c>
      <c r="L11" s="22" t="n">
        <f aca="false">AVERAGE(L9:L10)</f>
        <v>10600</v>
      </c>
      <c r="M11" s="22" t="n">
        <f aca="false">AVERAGE(M9:M10)</f>
        <v>9600</v>
      </c>
      <c r="N11" s="22" t="n">
        <f aca="false">AVERAGE(N9:N10)</f>
        <v>10100</v>
      </c>
    </row>
    <row r="13" customFormat="false" ht="15" hidden="false" customHeight="false" outlineLevel="0" collapsed="false">
      <c r="A13" s="5" t="s">
        <v>119</v>
      </c>
      <c r="B13" s="6"/>
      <c r="C13" s="6"/>
      <c r="D13" s="6"/>
      <c r="E13" s="6"/>
      <c r="F13" s="6"/>
      <c r="G13" s="6"/>
      <c r="H13" s="6"/>
      <c r="I13" s="6"/>
      <c r="J13" s="6"/>
      <c r="K13" s="6"/>
      <c r="L13" s="6"/>
      <c r="M13" s="6"/>
      <c r="N13" s="6"/>
    </row>
    <row r="14" customFormat="false" ht="15" hidden="false" customHeight="false" outlineLevel="0" collapsed="false">
      <c r="A14" s="7" t="s">
        <v>137</v>
      </c>
      <c r="B14" s="17" t="s">
        <v>105</v>
      </c>
      <c r="C14" s="17" t="s">
        <v>118</v>
      </c>
      <c r="D14" s="8" t="n">
        <v>7600</v>
      </c>
      <c r="E14" s="8" t="n">
        <v>7500</v>
      </c>
      <c r="F14" s="8" t="n">
        <v>8100</v>
      </c>
      <c r="G14" s="8" t="n">
        <v>9000</v>
      </c>
      <c r="H14" s="8" t="n">
        <v>8900</v>
      </c>
      <c r="I14" s="8" t="n">
        <v>8700</v>
      </c>
      <c r="J14" s="8" t="n">
        <v>9000</v>
      </c>
      <c r="K14" s="8" t="n">
        <v>10300</v>
      </c>
      <c r="L14" s="8" t="n">
        <v>8800</v>
      </c>
      <c r="M14" s="8" t="n">
        <v>7900</v>
      </c>
      <c r="N14" s="8" t="n">
        <v>8400</v>
      </c>
    </row>
    <row r="15" customFormat="false" ht="15" hidden="false" customHeight="false" outlineLevel="0" collapsed="false">
      <c r="A15" s="7" t="s">
        <v>138</v>
      </c>
      <c r="B15" s="17" t="s">
        <v>105</v>
      </c>
      <c r="C15" s="17" t="s">
        <v>118</v>
      </c>
      <c r="D15" s="8" t="n">
        <v>8200</v>
      </c>
      <c r="E15" s="8" t="n">
        <v>8100</v>
      </c>
      <c r="F15" s="8" t="n">
        <v>8700</v>
      </c>
      <c r="G15" s="8" t="n">
        <v>9600</v>
      </c>
      <c r="H15" s="8" t="n">
        <v>9500</v>
      </c>
      <c r="I15" s="8" t="n">
        <v>9300</v>
      </c>
      <c r="J15" s="8" t="n">
        <v>9600</v>
      </c>
      <c r="K15" s="8" t="n">
        <v>10900</v>
      </c>
      <c r="L15" s="8" t="n">
        <v>9400</v>
      </c>
      <c r="M15" s="8" t="n">
        <v>8500</v>
      </c>
      <c r="N15" s="8" t="n">
        <v>9000</v>
      </c>
    </row>
    <row r="16" customFormat="false" ht="15" hidden="false" customHeight="false" outlineLevel="0" collapsed="false">
      <c r="A16" s="3" t="s">
        <v>139</v>
      </c>
      <c r="B16" s="17" t="s">
        <v>105</v>
      </c>
      <c r="C16" s="17" t="s">
        <v>118</v>
      </c>
      <c r="D16" s="22" t="n">
        <f aca="false">AVERAGE(D14:D15)</f>
        <v>7900</v>
      </c>
      <c r="E16" s="22" t="n">
        <f aca="false">AVERAGE(E14:E15)</f>
        <v>7800</v>
      </c>
      <c r="F16" s="22" t="n">
        <f aca="false">AVERAGE(F14:F15)</f>
        <v>8400</v>
      </c>
      <c r="G16" s="22" t="n">
        <f aca="false">AVERAGE(G14:G15)</f>
        <v>9300</v>
      </c>
      <c r="H16" s="22" t="n">
        <f aca="false">AVERAGE(H14:H15)</f>
        <v>9200</v>
      </c>
      <c r="I16" s="22" t="n">
        <f aca="false">AVERAGE(I14:I15)</f>
        <v>9000</v>
      </c>
      <c r="J16" s="22" t="n">
        <f aca="false">AVERAGE(J14:J15)</f>
        <v>9300</v>
      </c>
      <c r="K16" s="22" t="n">
        <f aca="false">AVERAGE(K14:K15)</f>
        <v>10600</v>
      </c>
      <c r="L16" s="22" t="n">
        <f aca="false">AVERAGE(L14:L15)</f>
        <v>9100</v>
      </c>
      <c r="M16" s="22" t="n">
        <f aca="false">AVERAGE(M14:M15)</f>
        <v>8200</v>
      </c>
      <c r="N16" s="22" t="n">
        <f aca="false">AVERAGE(N14:N15)</f>
        <v>8700</v>
      </c>
    </row>
    <row r="18" customFormat="false" ht="15" hidden="false" customHeight="false" outlineLevel="0" collapsed="false">
      <c r="A18" s="5" t="s">
        <v>109</v>
      </c>
      <c r="B18" s="6"/>
      <c r="C18" s="6"/>
      <c r="D18" s="6"/>
      <c r="E18" s="6"/>
      <c r="F18" s="6"/>
      <c r="G18" s="6"/>
      <c r="H18" s="6"/>
      <c r="I18" s="6"/>
      <c r="J18" s="6"/>
      <c r="K18" s="6"/>
      <c r="L18" s="6"/>
      <c r="M18" s="6"/>
      <c r="N18" s="6"/>
    </row>
    <row r="19" customFormat="false" ht="15" hidden="false" customHeight="false" outlineLevel="0" collapsed="false">
      <c r="A19" s="7" t="s">
        <v>137</v>
      </c>
      <c r="B19" s="17" t="s">
        <v>105</v>
      </c>
      <c r="C19" s="17" t="s">
        <v>118</v>
      </c>
      <c r="D19" s="8" t="n">
        <v>1200</v>
      </c>
      <c r="E19" s="8" t="n">
        <v>1200</v>
      </c>
      <c r="F19" s="8" t="n">
        <v>1350</v>
      </c>
      <c r="G19" s="8" t="n">
        <v>1450</v>
      </c>
      <c r="H19" s="8" t="n">
        <v>1250</v>
      </c>
      <c r="I19" s="8" t="n">
        <v>1150</v>
      </c>
      <c r="J19" s="8" t="n">
        <v>1250</v>
      </c>
      <c r="K19" s="8" t="n">
        <v>1400</v>
      </c>
      <c r="L19" s="8" t="n">
        <v>1200</v>
      </c>
      <c r="M19" s="8" t="n">
        <v>1150</v>
      </c>
      <c r="N19" s="8" t="n">
        <v>1200</v>
      </c>
    </row>
    <row r="20" customFormat="false" ht="15" hidden="false" customHeight="false" outlineLevel="0" collapsed="false">
      <c r="A20" s="7" t="s">
        <v>138</v>
      </c>
      <c r="B20" s="17" t="s">
        <v>105</v>
      </c>
      <c r="C20" s="17" t="s">
        <v>118</v>
      </c>
      <c r="D20" s="8" t="n">
        <v>1400</v>
      </c>
      <c r="E20" s="8" t="n">
        <v>1400</v>
      </c>
      <c r="F20" s="8" t="n">
        <v>1550</v>
      </c>
      <c r="G20" s="8" t="n">
        <v>1650</v>
      </c>
      <c r="H20" s="8" t="n">
        <v>1450</v>
      </c>
      <c r="I20" s="8" t="n">
        <v>1350</v>
      </c>
      <c r="J20" s="8" t="n">
        <v>1450</v>
      </c>
      <c r="K20" s="8" t="n">
        <v>1600</v>
      </c>
      <c r="L20" s="8" t="n">
        <v>1400</v>
      </c>
      <c r="M20" s="8" t="n">
        <v>1350</v>
      </c>
      <c r="N20" s="8" t="n">
        <v>1400</v>
      </c>
    </row>
    <row r="21" customFormat="false" ht="15" hidden="false" customHeight="false" outlineLevel="0" collapsed="false">
      <c r="A21" s="3" t="s">
        <v>139</v>
      </c>
      <c r="B21" s="17" t="s">
        <v>105</v>
      </c>
      <c r="C21" s="17" t="s">
        <v>118</v>
      </c>
      <c r="D21" s="22" t="n">
        <f aca="false">AVERAGE(D19:D20)</f>
        <v>1300</v>
      </c>
      <c r="E21" s="22" t="n">
        <f aca="false">AVERAGE(E19:E20)</f>
        <v>1300</v>
      </c>
      <c r="F21" s="22" t="n">
        <f aca="false">AVERAGE(F19:F20)</f>
        <v>1450</v>
      </c>
      <c r="G21" s="22" t="n">
        <f aca="false">AVERAGE(G19:G20)</f>
        <v>1550</v>
      </c>
      <c r="H21" s="22" t="n">
        <f aca="false">AVERAGE(H19:H20)</f>
        <v>1350</v>
      </c>
      <c r="I21" s="22" t="n">
        <f aca="false">AVERAGE(I19:I20)</f>
        <v>1250</v>
      </c>
      <c r="J21" s="22" t="n">
        <f aca="false">AVERAGE(J19:J20)</f>
        <v>1350</v>
      </c>
      <c r="K21" s="22" t="n">
        <f aca="false">AVERAGE(K19:K20)</f>
        <v>1500</v>
      </c>
      <c r="L21" s="22" t="n">
        <f aca="false">AVERAGE(L19:L20)</f>
        <v>1300</v>
      </c>
      <c r="M21" s="22" t="n">
        <f aca="false">AVERAGE(M19:M20)</f>
        <v>1250</v>
      </c>
      <c r="N21" s="22" t="n">
        <f aca="false">AVERAGE(N19:N20)</f>
        <v>1300</v>
      </c>
    </row>
    <row r="23" customFormat="false" ht="15" hidden="false" customHeight="false" outlineLevel="0" collapsed="false">
      <c r="A23" s="2" t="s">
        <v>140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13" min="3" style="0" width="11"/>
  </cols>
  <sheetData>
    <row r="1" customFormat="false" ht="17.35" hidden="false" customHeight="false" outlineLevel="0" collapsed="false">
      <c r="A1" s="1" t="s">
        <v>141</v>
      </c>
    </row>
    <row r="2" customFormat="false" ht="15" hidden="false" customHeight="false" outlineLevel="0" collapsed="false">
      <c r="A2" s="2" t="s">
        <v>142</v>
      </c>
    </row>
    <row r="4" customFormat="false" ht="15" hidden="false" customHeight="false" outlineLevel="0" collapsed="false">
      <c r="A4" s="15" t="s">
        <v>66</v>
      </c>
      <c r="B4" s="16" t="s">
        <v>67</v>
      </c>
      <c r="C4" s="16" t="s">
        <v>68</v>
      </c>
      <c r="D4" s="16" t="s">
        <v>69</v>
      </c>
      <c r="E4" s="16" t="s">
        <v>70</v>
      </c>
      <c r="F4" s="16" t="s">
        <v>71</v>
      </c>
      <c r="G4" s="16" t="s">
        <v>72</v>
      </c>
      <c r="H4" s="16" t="s">
        <v>73</v>
      </c>
      <c r="I4" s="16" t="s">
        <v>74</v>
      </c>
      <c r="J4" s="16" t="s">
        <v>75</v>
      </c>
      <c r="K4" s="16" t="s">
        <v>76</v>
      </c>
      <c r="L4" s="16" t="s">
        <v>77</v>
      </c>
      <c r="M4" s="16" t="s">
        <v>78</v>
      </c>
    </row>
    <row r="5" customFormat="false" ht="15" hidden="false" customHeight="false" outlineLevel="0" collapsed="false">
      <c r="C5" s="17" t="s">
        <v>118</v>
      </c>
    </row>
    <row r="6" customFormat="false" ht="15" hidden="false" customHeight="false" outlineLevel="0" collapsed="false">
      <c r="A6" s="5" t="s">
        <v>119</v>
      </c>
      <c r="B6" s="6"/>
      <c r="C6" s="6"/>
      <c r="D6" s="6"/>
      <c r="E6" s="6"/>
      <c r="F6" s="6"/>
      <c r="G6" s="6"/>
      <c r="H6" s="6"/>
      <c r="I6" s="6"/>
      <c r="J6" s="6"/>
      <c r="K6" s="6"/>
      <c r="L6" s="6"/>
      <c r="M6" s="6"/>
    </row>
    <row r="7" customFormat="false" ht="15" hidden="false" customHeight="false" outlineLevel="0" collapsed="false">
      <c r="A7" s="7" t="s">
        <v>143</v>
      </c>
      <c r="B7" s="17" t="s">
        <v>105</v>
      </c>
      <c r="D7" s="10" t="n">
        <f aca="false">Actuals!D12</f>
        <v>8026</v>
      </c>
      <c r="E7" s="10" t="n">
        <f aca="false">Actuals!E12</f>
        <v>8069</v>
      </c>
      <c r="F7" s="10" t="n">
        <f aca="false">Actuals!F12</f>
        <v>8678</v>
      </c>
      <c r="G7" s="10" t="n">
        <f aca="false">Actuals!G12</f>
        <v>10084</v>
      </c>
      <c r="H7" s="10" t="n">
        <f aca="false">Actuals!H12</f>
        <v>9469</v>
      </c>
      <c r="I7" s="10" t="n">
        <f aca="false">Actuals!I12</f>
        <v>8993</v>
      </c>
      <c r="J7" s="10" t="n">
        <f aca="false">Actuals!J12</f>
        <v>9821</v>
      </c>
      <c r="K7" s="10" t="n">
        <f aca="false">Actuals!K12</f>
        <v>10613</v>
      </c>
      <c r="L7" s="10" t="n">
        <f aca="false">Actuals!L12</f>
        <v>9076</v>
      </c>
      <c r="M7" s="10" t="n">
        <f aca="false">Actuals!M12</f>
        <v>8504</v>
      </c>
    </row>
    <row r="8" customFormat="false" ht="15" hidden="false" customHeight="false" outlineLevel="0" collapsed="false">
      <c r="A8" s="7" t="s">
        <v>144</v>
      </c>
      <c r="B8" s="17" t="s">
        <v>105</v>
      </c>
      <c r="D8" s="10" t="n">
        <f aca="false">Guidance!D14</f>
        <v>7600</v>
      </c>
      <c r="E8" s="10" t="n">
        <f aca="false">Guidance!E14</f>
        <v>7500</v>
      </c>
      <c r="F8" s="10" t="n">
        <f aca="false">Guidance!F14</f>
        <v>8100</v>
      </c>
      <c r="G8" s="10" t="n">
        <f aca="false">Guidance!G14</f>
        <v>9000</v>
      </c>
      <c r="H8" s="10" t="n">
        <f aca="false">Guidance!H14</f>
        <v>8900</v>
      </c>
      <c r="I8" s="10" t="n">
        <f aca="false">Guidance!I14</f>
        <v>8700</v>
      </c>
      <c r="J8" s="10" t="n">
        <f aca="false">Guidance!J14</f>
        <v>9000</v>
      </c>
      <c r="K8" s="10" t="n">
        <f aca="false">Guidance!K14</f>
        <v>10300</v>
      </c>
      <c r="L8" s="10" t="n">
        <f aca="false">Guidance!L14</f>
        <v>8800</v>
      </c>
      <c r="M8" s="10" t="n">
        <f aca="false">Guidance!M14</f>
        <v>7900</v>
      </c>
    </row>
    <row r="9" customFormat="false" ht="15" hidden="false" customHeight="false" outlineLevel="0" collapsed="false">
      <c r="A9" s="7" t="s">
        <v>145</v>
      </c>
      <c r="B9" s="17" t="s">
        <v>105</v>
      </c>
      <c r="D9" s="10" t="n">
        <f aca="false">Guidance!D15</f>
        <v>8200</v>
      </c>
      <c r="E9" s="10" t="n">
        <f aca="false">Guidance!E15</f>
        <v>8100</v>
      </c>
      <c r="F9" s="10" t="n">
        <f aca="false">Guidance!F15</f>
        <v>8700</v>
      </c>
      <c r="G9" s="10" t="n">
        <f aca="false">Guidance!G15</f>
        <v>9600</v>
      </c>
      <c r="H9" s="10" t="n">
        <f aca="false">Guidance!H15</f>
        <v>9500</v>
      </c>
      <c r="I9" s="10" t="n">
        <f aca="false">Guidance!I15</f>
        <v>9300</v>
      </c>
      <c r="J9" s="10" t="n">
        <f aca="false">Guidance!J15</f>
        <v>9600</v>
      </c>
      <c r="K9" s="10" t="n">
        <f aca="false">Guidance!K15</f>
        <v>10900</v>
      </c>
      <c r="L9" s="10" t="n">
        <f aca="false">Guidance!L15</f>
        <v>9400</v>
      </c>
      <c r="M9" s="10" t="n">
        <f aca="false">Guidance!M15</f>
        <v>8500</v>
      </c>
    </row>
    <row r="10" customFormat="false" ht="15" hidden="false" customHeight="false" outlineLevel="0" collapsed="false">
      <c r="A10" s="7" t="s">
        <v>146</v>
      </c>
      <c r="B10" s="17" t="s">
        <v>105</v>
      </c>
      <c r="D10" s="10" t="n">
        <f aca="false">Guidance!D16</f>
        <v>7900</v>
      </c>
      <c r="E10" s="10" t="n">
        <f aca="false">Guidance!E16</f>
        <v>7800</v>
      </c>
      <c r="F10" s="10" t="n">
        <f aca="false">Guidance!F16</f>
        <v>8400</v>
      </c>
      <c r="G10" s="10" t="n">
        <f aca="false">Guidance!G16</f>
        <v>9300</v>
      </c>
      <c r="H10" s="10" t="n">
        <f aca="false">Guidance!H16</f>
        <v>9200</v>
      </c>
      <c r="I10" s="10" t="n">
        <f aca="false">Guidance!I16</f>
        <v>9000</v>
      </c>
      <c r="J10" s="10" t="n">
        <f aca="false">Guidance!J16</f>
        <v>9300</v>
      </c>
      <c r="K10" s="10" t="n">
        <f aca="false">Guidance!K16</f>
        <v>10600</v>
      </c>
      <c r="L10" s="10" t="n">
        <f aca="false">Guidance!L16</f>
        <v>9100</v>
      </c>
      <c r="M10" s="10" t="n">
        <f aca="false">Guidance!M16</f>
        <v>8200</v>
      </c>
    </row>
    <row r="11" customFormat="false" ht="15" hidden="false" customHeight="false" outlineLevel="0" collapsed="false">
      <c r="A11" s="3" t="s">
        <v>147</v>
      </c>
      <c r="B11" s="17" t="s">
        <v>105</v>
      </c>
      <c r="D11" s="22" t="n">
        <f aca="false">D7-D10</f>
        <v>126</v>
      </c>
      <c r="E11" s="22" t="n">
        <f aca="false">E7-E10</f>
        <v>269</v>
      </c>
      <c r="F11" s="22" t="n">
        <f aca="false">F7-F10</f>
        <v>278</v>
      </c>
      <c r="G11" s="22" t="n">
        <f aca="false">G7-G10</f>
        <v>784</v>
      </c>
      <c r="H11" s="22" t="n">
        <f aca="false">H7-H10</f>
        <v>269</v>
      </c>
      <c r="I11" s="22" t="n">
        <f aca="false">I7-I10</f>
        <v>-7</v>
      </c>
      <c r="J11" s="22" t="n">
        <f aca="false">J7-J10</f>
        <v>521</v>
      </c>
      <c r="K11" s="22" t="n">
        <f aca="false">K7-K10</f>
        <v>13</v>
      </c>
      <c r="L11" s="22" t="n">
        <f aca="false">L7-L10</f>
        <v>-24</v>
      </c>
      <c r="M11" s="22" t="n">
        <f aca="false">M7-M10</f>
        <v>304</v>
      </c>
    </row>
    <row r="12" customFormat="false" ht="15" hidden="false" customHeight="false" outlineLevel="0" collapsed="false">
      <c r="A12" s="3" t="s">
        <v>148</v>
      </c>
      <c r="B12" s="17" t="s">
        <v>116</v>
      </c>
      <c r="D12" s="23" t="n">
        <f aca="false">IF(D10=0,0,D11/D10)</f>
        <v>0.0159493670886076</v>
      </c>
      <c r="E12" s="23" t="n">
        <f aca="false">IF(E10=0,0,E11/E10)</f>
        <v>0.0344871794871795</v>
      </c>
      <c r="F12" s="23" t="n">
        <f aca="false">IF(F10=0,0,F11/F10)</f>
        <v>0.0330952380952381</v>
      </c>
      <c r="G12" s="23" t="n">
        <f aca="false">IF(G10=0,0,G11/G10)</f>
        <v>0.0843010752688172</v>
      </c>
      <c r="H12" s="23" t="n">
        <f aca="false">IF(H10=0,0,H11/H10)</f>
        <v>0.0292391304347826</v>
      </c>
      <c r="I12" s="23" t="n">
        <f aca="false">IF(I10=0,0,I11/I10)</f>
        <v>-0.000777777777777778</v>
      </c>
      <c r="J12" s="23" t="n">
        <f aca="false">IF(J10=0,0,J11/J10)</f>
        <v>0.0560215053763441</v>
      </c>
      <c r="K12" s="23" t="n">
        <f aca="false">IF(K10=0,0,K11/K10)</f>
        <v>0.00122641509433962</v>
      </c>
      <c r="L12" s="23" t="n">
        <f aca="false">IF(L10=0,0,L11/L10)</f>
        <v>-0.00263736263736264</v>
      </c>
      <c r="M12" s="23" t="n">
        <f aca="false">IF(M10=0,0,M11/M10)</f>
        <v>0.0370731707317073</v>
      </c>
    </row>
    <row r="13" customFormat="false" ht="15" hidden="false" customHeight="false" outlineLevel="0" collapsed="false">
      <c r="A13" s="7" t="s">
        <v>149</v>
      </c>
      <c r="B13" s="17"/>
      <c r="D13" s="17" t="str">
        <f aca="false">IF(D7&gt;D9,"Above",IF(D7&lt;D8,"Below","Within"))</f>
        <v>Within</v>
      </c>
      <c r="E13" s="17" t="str">
        <f aca="false">IF(E7&gt;E9,"Above",IF(E7&lt;E8,"Below","Within"))</f>
        <v>Within</v>
      </c>
      <c r="F13" s="17" t="str">
        <f aca="false">IF(F7&gt;F9,"Above",IF(F7&lt;F8,"Below","Within"))</f>
        <v>Within</v>
      </c>
      <c r="G13" s="17" t="str">
        <f aca="false">IF(G7&gt;G9,"Above",IF(G7&lt;G8,"Below","Within"))</f>
        <v>Above</v>
      </c>
      <c r="H13" s="17" t="str">
        <f aca="false">IF(H7&gt;H9,"Above",IF(H7&lt;H8,"Below","Within"))</f>
        <v>Within</v>
      </c>
      <c r="I13" s="17" t="str">
        <f aca="false">IF(I7&gt;I9,"Above",IF(I7&lt;I8,"Below","Within"))</f>
        <v>Within</v>
      </c>
      <c r="J13" s="17" t="str">
        <f aca="false">IF(J7&gt;J9,"Above",IF(J7&lt;J8,"Below","Within"))</f>
        <v>Above</v>
      </c>
      <c r="K13" s="17" t="str">
        <f aca="false">IF(K7&gt;K9,"Above",IF(K7&lt;K8,"Below","Within"))</f>
        <v>Within</v>
      </c>
      <c r="L13" s="17" t="str">
        <f aca="false">IF(L7&gt;L9,"Above",IF(L7&lt;L8,"Below","Within"))</f>
        <v>Within</v>
      </c>
      <c r="M13" s="17" t="str">
        <f aca="false">IF(M7&gt;M9,"Above",IF(M7&lt;M8,"Below","Within"))</f>
        <v>Above</v>
      </c>
    </row>
    <row r="14" customFormat="false" ht="15" hidden="false" customHeight="false" outlineLevel="0" collapsed="false">
      <c r="A14" s="7" t="s">
        <v>150</v>
      </c>
      <c r="B14" s="17" t="s">
        <v>116</v>
      </c>
      <c r="D14" s="21" t="n">
        <f aca="false">IF(D9=D8,0,(D7-D8)/(D9-D8))</f>
        <v>0.71</v>
      </c>
      <c r="E14" s="21" t="n">
        <f aca="false">IF(E9=E8,0,(E7-E8)/(E9-E8))</f>
        <v>0.948333333333333</v>
      </c>
      <c r="F14" s="21" t="n">
        <f aca="false">IF(F9=F8,0,(F7-F8)/(F9-F8))</f>
        <v>0.963333333333333</v>
      </c>
      <c r="G14" s="21" t="n">
        <f aca="false">IF(G9=G8,0,(G7-G8)/(G9-G8))</f>
        <v>1.80666666666667</v>
      </c>
      <c r="H14" s="21" t="n">
        <f aca="false">IF(H9=H8,0,(H7-H8)/(H9-H8))</f>
        <v>0.948333333333333</v>
      </c>
      <c r="I14" s="21" t="n">
        <f aca="false">IF(I9=I8,0,(I7-I8)/(I9-I8))</f>
        <v>0.488333333333333</v>
      </c>
      <c r="J14" s="21" t="n">
        <f aca="false">IF(J9=J8,0,(J7-J8)/(J9-J8))</f>
        <v>1.36833333333333</v>
      </c>
      <c r="K14" s="21" t="n">
        <f aca="false">IF(K9=K8,0,(K7-K8)/(K9-K8))</f>
        <v>0.521666666666667</v>
      </c>
      <c r="L14" s="21" t="n">
        <f aca="false">IF(L9=L8,0,(L7-L8)/(L9-L8))</f>
        <v>0.46</v>
      </c>
      <c r="M14" s="21" t="n">
        <f aca="false">IF(M9=M8,0,(M7-M8)/(M9-M8))</f>
        <v>1.00666666666667</v>
      </c>
    </row>
    <row r="16" customFormat="false" ht="15" hidden="false" customHeight="false" outlineLevel="0" collapsed="false">
      <c r="A16" s="5" t="s">
        <v>109</v>
      </c>
      <c r="B16" s="6"/>
      <c r="C16" s="6"/>
      <c r="D16" s="6"/>
      <c r="E16" s="6"/>
      <c r="F16" s="6"/>
      <c r="G16" s="6"/>
      <c r="H16" s="6"/>
      <c r="I16" s="6"/>
      <c r="J16" s="6"/>
      <c r="K16" s="6"/>
      <c r="L16" s="6"/>
      <c r="M16" s="6"/>
    </row>
    <row r="17" customFormat="false" ht="15" hidden="false" customHeight="false" outlineLevel="0" collapsed="false">
      <c r="A17" s="7" t="s">
        <v>143</v>
      </c>
      <c r="B17" s="17" t="s">
        <v>105</v>
      </c>
      <c r="D17" s="10" t="n">
        <f aca="false">Actuals!D13</f>
        <v>1318</v>
      </c>
      <c r="E17" s="10" t="n">
        <f aca="false">Actuals!E13</f>
        <v>1273</v>
      </c>
      <c r="F17" s="10" t="n">
        <f aca="false">Actuals!F13</f>
        <v>1521</v>
      </c>
      <c r="G17" s="10" t="n">
        <f aca="false">Actuals!G13</f>
        <v>1535</v>
      </c>
      <c r="H17" s="10" t="n">
        <f aca="false">Actuals!H13</f>
        <v>1319</v>
      </c>
      <c r="I17" s="10" t="n">
        <f aca="false">Actuals!I13</f>
        <v>1318</v>
      </c>
      <c r="J17" s="10" t="n">
        <f aca="false">Actuals!J13</f>
        <v>1409</v>
      </c>
      <c r="K17" s="10" t="n">
        <f aca="false">Actuals!K13</f>
        <v>1592</v>
      </c>
      <c r="L17" s="10" t="n">
        <f aca="false">Actuals!L13</f>
        <v>1382</v>
      </c>
      <c r="M17" s="10" t="n">
        <f aca="false">Actuals!M13</f>
        <v>1278</v>
      </c>
    </row>
    <row r="18" customFormat="false" ht="15" hidden="false" customHeight="false" outlineLevel="0" collapsed="false">
      <c r="A18" s="7" t="s">
        <v>144</v>
      </c>
      <c r="B18" s="17" t="s">
        <v>105</v>
      </c>
      <c r="D18" s="10" t="n">
        <f aca="false">Guidance!D19</f>
        <v>1200</v>
      </c>
      <c r="E18" s="10" t="n">
        <f aca="false">Guidance!E19</f>
        <v>1200</v>
      </c>
      <c r="F18" s="10" t="n">
        <f aca="false">Guidance!F19</f>
        <v>1350</v>
      </c>
      <c r="G18" s="10" t="n">
        <f aca="false">Guidance!G19</f>
        <v>1450</v>
      </c>
      <c r="H18" s="10" t="n">
        <f aca="false">Guidance!H19</f>
        <v>1250</v>
      </c>
      <c r="I18" s="10" t="n">
        <f aca="false">Guidance!I19</f>
        <v>1150</v>
      </c>
      <c r="J18" s="10" t="n">
        <f aca="false">Guidance!J19</f>
        <v>1250</v>
      </c>
      <c r="K18" s="10" t="n">
        <f aca="false">Guidance!K19</f>
        <v>1400</v>
      </c>
      <c r="L18" s="10" t="n">
        <f aca="false">Guidance!L19</f>
        <v>1200</v>
      </c>
      <c r="M18" s="10" t="n">
        <f aca="false">Guidance!M19</f>
        <v>1150</v>
      </c>
    </row>
    <row r="19" customFormat="false" ht="15" hidden="false" customHeight="false" outlineLevel="0" collapsed="false">
      <c r="A19" s="7" t="s">
        <v>145</v>
      </c>
      <c r="B19" s="17" t="s">
        <v>105</v>
      </c>
      <c r="D19" s="10" t="n">
        <f aca="false">Guidance!D20</f>
        <v>1400</v>
      </c>
      <c r="E19" s="10" t="n">
        <f aca="false">Guidance!E20</f>
        <v>1400</v>
      </c>
      <c r="F19" s="10" t="n">
        <f aca="false">Guidance!F20</f>
        <v>1550</v>
      </c>
      <c r="G19" s="10" t="n">
        <f aca="false">Guidance!G20</f>
        <v>1650</v>
      </c>
      <c r="H19" s="10" t="n">
        <f aca="false">Guidance!H20</f>
        <v>1450</v>
      </c>
      <c r="I19" s="10" t="n">
        <f aca="false">Guidance!I20</f>
        <v>1350</v>
      </c>
      <c r="J19" s="10" t="n">
        <f aca="false">Guidance!J20</f>
        <v>1450</v>
      </c>
      <c r="K19" s="10" t="n">
        <f aca="false">Guidance!K20</f>
        <v>1600</v>
      </c>
      <c r="L19" s="10" t="n">
        <f aca="false">Guidance!L20</f>
        <v>1400</v>
      </c>
      <c r="M19" s="10" t="n">
        <f aca="false">Guidance!M20</f>
        <v>1350</v>
      </c>
    </row>
    <row r="20" customFormat="false" ht="15" hidden="false" customHeight="false" outlineLevel="0" collapsed="false">
      <c r="A20" s="7" t="s">
        <v>146</v>
      </c>
      <c r="B20" s="17" t="s">
        <v>105</v>
      </c>
      <c r="D20" s="10" t="n">
        <f aca="false">Guidance!D21</f>
        <v>1300</v>
      </c>
      <c r="E20" s="10" t="n">
        <f aca="false">Guidance!E21</f>
        <v>1300</v>
      </c>
      <c r="F20" s="10" t="n">
        <f aca="false">Guidance!F21</f>
        <v>1450</v>
      </c>
      <c r="G20" s="10" t="n">
        <f aca="false">Guidance!G21</f>
        <v>1550</v>
      </c>
      <c r="H20" s="10" t="n">
        <f aca="false">Guidance!H21</f>
        <v>1350</v>
      </c>
      <c r="I20" s="10" t="n">
        <f aca="false">Guidance!I21</f>
        <v>1250</v>
      </c>
      <c r="J20" s="10" t="n">
        <f aca="false">Guidance!J21</f>
        <v>1350</v>
      </c>
      <c r="K20" s="10" t="n">
        <f aca="false">Guidance!K21</f>
        <v>1500</v>
      </c>
      <c r="L20" s="10" t="n">
        <f aca="false">Guidance!L21</f>
        <v>1300</v>
      </c>
      <c r="M20" s="10" t="n">
        <f aca="false">Guidance!M21</f>
        <v>1250</v>
      </c>
    </row>
    <row r="21" customFormat="false" ht="15" hidden="false" customHeight="false" outlineLevel="0" collapsed="false">
      <c r="A21" s="3" t="s">
        <v>147</v>
      </c>
      <c r="B21" s="17" t="s">
        <v>105</v>
      </c>
      <c r="D21" s="22" t="n">
        <f aca="false">D17-D20</f>
        <v>18</v>
      </c>
      <c r="E21" s="22" t="n">
        <f aca="false">E17-E20</f>
        <v>-27</v>
      </c>
      <c r="F21" s="22" t="n">
        <f aca="false">F17-F20</f>
        <v>71</v>
      </c>
      <c r="G21" s="22" t="n">
        <f aca="false">G17-G20</f>
        <v>-15</v>
      </c>
      <c r="H21" s="22" t="n">
        <f aca="false">H17-H20</f>
        <v>-31</v>
      </c>
      <c r="I21" s="22" t="n">
        <f aca="false">I17-I20</f>
        <v>68</v>
      </c>
      <c r="J21" s="22" t="n">
        <f aca="false">J17-J20</f>
        <v>59</v>
      </c>
      <c r="K21" s="22" t="n">
        <f aca="false">K17-K20</f>
        <v>92</v>
      </c>
      <c r="L21" s="22" t="n">
        <f aca="false">L17-L20</f>
        <v>82</v>
      </c>
      <c r="M21" s="22" t="n">
        <f aca="false">M17-M20</f>
        <v>28</v>
      </c>
    </row>
    <row r="22" customFormat="false" ht="15" hidden="false" customHeight="false" outlineLevel="0" collapsed="false">
      <c r="A22" s="3" t="s">
        <v>148</v>
      </c>
      <c r="B22" s="17" t="s">
        <v>116</v>
      </c>
      <c r="D22" s="23" t="n">
        <f aca="false">IF(D20=0,0,D21/D20)</f>
        <v>0.0138461538461538</v>
      </c>
      <c r="E22" s="23" t="n">
        <f aca="false">IF(E20=0,0,E21/E20)</f>
        <v>-0.0207692307692308</v>
      </c>
      <c r="F22" s="23" t="n">
        <f aca="false">IF(F20=0,0,F21/F20)</f>
        <v>0.0489655172413793</v>
      </c>
      <c r="G22" s="23" t="n">
        <f aca="false">IF(G20=0,0,G21/G20)</f>
        <v>-0.00967741935483871</v>
      </c>
      <c r="H22" s="23" t="n">
        <f aca="false">IF(H20=0,0,H21/H20)</f>
        <v>-0.022962962962963</v>
      </c>
      <c r="I22" s="23" t="n">
        <f aca="false">IF(I20=0,0,I21/I20)</f>
        <v>0.0544</v>
      </c>
      <c r="J22" s="23" t="n">
        <f aca="false">IF(J20=0,0,J21/J20)</f>
        <v>0.0437037037037037</v>
      </c>
      <c r="K22" s="23" t="n">
        <f aca="false">IF(K20=0,0,K21/K20)</f>
        <v>0.0613333333333333</v>
      </c>
      <c r="L22" s="23" t="n">
        <f aca="false">IF(L20=0,0,L21/L20)</f>
        <v>0.0630769230769231</v>
      </c>
      <c r="M22" s="23" t="n">
        <f aca="false">IF(M20=0,0,M21/M20)</f>
        <v>0.0224</v>
      </c>
    </row>
    <row r="23" customFormat="false" ht="15" hidden="false" customHeight="false" outlineLevel="0" collapsed="false">
      <c r="A23" s="7" t="s">
        <v>149</v>
      </c>
      <c r="B23" s="17"/>
      <c r="D23" s="17" t="str">
        <f aca="false">IF(D17&gt;D19,"Above",IF(D17&lt;D18,"Below","Within"))</f>
        <v>Within</v>
      </c>
      <c r="E23" s="17" t="str">
        <f aca="false">IF(E17&gt;E19,"Above",IF(E17&lt;E18,"Below","Within"))</f>
        <v>Within</v>
      </c>
      <c r="F23" s="17" t="str">
        <f aca="false">IF(F17&gt;F19,"Above",IF(F17&lt;F18,"Below","Within"))</f>
        <v>Within</v>
      </c>
      <c r="G23" s="17" t="str">
        <f aca="false">IF(G17&gt;G19,"Above",IF(G17&lt;G18,"Below","Within"))</f>
        <v>Within</v>
      </c>
      <c r="H23" s="17" t="str">
        <f aca="false">IF(H17&gt;H19,"Above",IF(H17&lt;H18,"Below","Within"))</f>
        <v>Within</v>
      </c>
      <c r="I23" s="17" t="str">
        <f aca="false">IF(I17&gt;I19,"Above",IF(I17&lt;I18,"Below","Within"))</f>
        <v>Within</v>
      </c>
      <c r="J23" s="17" t="str">
        <f aca="false">IF(J17&gt;J19,"Above",IF(J17&lt;J18,"Below","Within"))</f>
        <v>Within</v>
      </c>
      <c r="K23" s="17" t="str">
        <f aca="false">IF(K17&gt;K19,"Above",IF(K17&lt;K18,"Below","Within"))</f>
        <v>Within</v>
      </c>
      <c r="L23" s="17" t="str">
        <f aca="false">IF(L17&gt;L19,"Above",IF(L17&lt;L18,"Below","Within"))</f>
        <v>Within</v>
      </c>
      <c r="M23" s="17" t="str">
        <f aca="false">IF(M17&gt;M19,"Above",IF(M17&lt;M18,"Below","Within"))</f>
        <v>Within</v>
      </c>
    </row>
    <row r="24" customFormat="false" ht="15" hidden="false" customHeight="false" outlineLevel="0" collapsed="false">
      <c r="A24" s="7" t="s">
        <v>150</v>
      </c>
      <c r="B24" s="17" t="s">
        <v>116</v>
      </c>
      <c r="D24" s="21" t="n">
        <f aca="false">IF(D19=D18,0,(D17-D18)/(D19-D18))</f>
        <v>0.59</v>
      </c>
      <c r="E24" s="21" t="n">
        <f aca="false">IF(E19=E18,0,(E17-E18)/(E19-E18))</f>
        <v>0.365</v>
      </c>
      <c r="F24" s="21" t="n">
        <f aca="false">IF(F19=F18,0,(F17-F18)/(F19-F18))</f>
        <v>0.855</v>
      </c>
      <c r="G24" s="21" t="n">
        <f aca="false">IF(G19=G18,0,(G17-G18)/(G19-G18))</f>
        <v>0.425</v>
      </c>
      <c r="H24" s="21" t="n">
        <f aca="false">IF(H19=H18,0,(H17-H18)/(H19-H18))</f>
        <v>0.345</v>
      </c>
      <c r="I24" s="21" t="n">
        <f aca="false">IF(I19=I18,0,(I17-I18)/(I19-I18))</f>
        <v>0.84</v>
      </c>
      <c r="J24" s="21" t="n">
        <f aca="false">IF(J19=J18,0,(J17-J18)/(J19-J18))</f>
        <v>0.795</v>
      </c>
      <c r="K24" s="21" t="n">
        <f aca="false">IF(K19=K18,0,(K17-K18)/(K19-K18))</f>
        <v>0.96</v>
      </c>
      <c r="L24" s="21" t="n">
        <f aca="false">IF(L19=L18,0,(L17-L18)/(L19-L18))</f>
        <v>0.91</v>
      </c>
      <c r="M24" s="21" t="n">
        <f aca="false">IF(M19=M18,0,(M17-M18)/(M19-M18))</f>
        <v>0.64</v>
      </c>
    </row>
    <row r="26" customFormat="false" ht="15" hidden="false" customHeight="false" outlineLevel="0" collapsed="false">
      <c r="A26" s="5" t="s">
        <v>151</v>
      </c>
      <c r="B26" s="6"/>
      <c r="C26" s="6"/>
      <c r="D26" s="6"/>
      <c r="E26" s="6"/>
      <c r="F26" s="6"/>
      <c r="G26" s="6"/>
      <c r="H26" s="6"/>
      <c r="I26" s="6"/>
      <c r="J26" s="6"/>
      <c r="K26" s="6"/>
      <c r="L26" s="6"/>
      <c r="M26" s="6"/>
    </row>
    <row r="27" customFormat="false" ht="15" hidden="false" customHeight="false" outlineLevel="0" collapsed="false">
      <c r="A27" s="15" t="s">
        <v>152</v>
      </c>
      <c r="B27" s="16" t="s">
        <v>153</v>
      </c>
      <c r="C27" s="16" t="s">
        <v>154</v>
      </c>
    </row>
    <row r="28" customFormat="false" ht="15" hidden="false" customHeight="false" outlineLevel="0" collapsed="false">
      <c r="A28" s="7" t="s">
        <v>155</v>
      </c>
      <c r="B28" s="24" t="n">
        <f aca="false">COUNTIF(D13:M13,"Above")</f>
        <v>3</v>
      </c>
      <c r="C28" s="24" t="n">
        <f aca="false">COUNTIF(D23:M23,"Above")</f>
        <v>0</v>
      </c>
    </row>
    <row r="29" customFormat="false" ht="15" hidden="false" customHeight="false" outlineLevel="0" collapsed="false">
      <c r="A29" s="7" t="s">
        <v>156</v>
      </c>
      <c r="B29" s="24" t="n">
        <f aca="false">COUNTIF(D13:M13,"Within")</f>
        <v>7</v>
      </c>
      <c r="C29" s="24" t="n">
        <f aca="false">COUNTIF(D23:M23,"Within")</f>
        <v>10</v>
      </c>
    </row>
    <row r="30" customFormat="false" ht="15" hidden="false" customHeight="false" outlineLevel="0" collapsed="false">
      <c r="A30" s="7" t="s">
        <v>157</v>
      </c>
      <c r="B30" s="24" t="n">
        <f aca="false">COUNTIF(D13:M13,"Below")</f>
        <v>0</v>
      </c>
      <c r="C30" s="24" t="n">
        <f aca="false">COUNTIF(D23:M23,"Below")</f>
        <v>0</v>
      </c>
    </row>
    <row r="31" customFormat="false" ht="15" hidden="false" customHeight="false" outlineLevel="0" collapsed="false">
      <c r="A31" s="7" t="s">
        <v>158</v>
      </c>
      <c r="B31" s="19" t="n">
        <f aca="false">AVERAGE(D12:M12)</f>
        <v>0.0287977941161876</v>
      </c>
      <c r="C31" s="19" t="n">
        <f aca="false">AVERAGE(D22:M22)</f>
        <v>0.0254316018114461</v>
      </c>
    </row>
    <row r="32" customFormat="false" ht="15" hidden="false" customHeight="false" outlineLevel="0" collapsed="false">
      <c r="A32" s="7" t="s">
        <v>159</v>
      </c>
      <c r="B32" s="19" t="n">
        <f aca="false">AVERAGE(D14:M14)</f>
        <v>0.922166666666667</v>
      </c>
      <c r="C32" s="19" t="n">
        <f aca="false">AVERAGE(D24:M24)</f>
        <v>0.6725</v>
      </c>
    </row>
    <row r="33" customFormat="false" ht="15" hidden="false" customHeight="false" outlineLevel="0" collapsed="false">
      <c r="A33" s="7" t="s">
        <v>160</v>
      </c>
      <c r="B33" s="25" t="n">
        <f aca="false">MAX(D11:M11)</f>
        <v>784</v>
      </c>
      <c r="C33" s="25" t="n">
        <f aca="false">MAX(D21:M21)</f>
        <v>92</v>
      </c>
    </row>
    <row r="34" customFormat="false" ht="15" hidden="false" customHeight="false" outlineLevel="0" collapsed="false">
      <c r="A34" s="7" t="s">
        <v>161</v>
      </c>
      <c r="B34" s="25" t="n">
        <f aca="false">MIN(D11:M11)</f>
        <v>-24</v>
      </c>
      <c r="C34" s="25" t="n">
        <f aca="false">MIN(D21:M21)</f>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18" min="3" style="0" width="11"/>
  </cols>
  <sheetData>
    <row r="1" customFormat="false" ht="17.35" hidden="false" customHeight="false" outlineLevel="0" collapsed="false">
      <c r="A1" s="1" t="s">
        <v>162</v>
      </c>
    </row>
    <row r="2" customFormat="false" ht="15" hidden="false" customHeight="false" outlineLevel="0" collapsed="false">
      <c r="A2" s="2" t="s">
        <v>163</v>
      </c>
    </row>
    <row r="4" customFormat="false" ht="15" hidden="false" customHeight="false" outlineLevel="0" collapsed="false">
      <c r="A4" s="15" t="s">
        <v>66</v>
      </c>
      <c r="B4" s="16" t="s">
        <v>67</v>
      </c>
      <c r="C4" s="16" t="s">
        <v>68</v>
      </c>
      <c r="D4" s="16" t="s">
        <v>69</v>
      </c>
      <c r="E4" s="16" t="s">
        <v>70</v>
      </c>
      <c r="F4" s="16" t="s">
        <v>71</v>
      </c>
      <c r="G4" s="16" t="s">
        <v>72</v>
      </c>
      <c r="H4" s="16" t="s">
        <v>73</v>
      </c>
      <c r="I4" s="16" t="s">
        <v>74</v>
      </c>
      <c r="J4" s="16" t="s">
        <v>75</v>
      </c>
      <c r="K4" s="16" t="s">
        <v>76</v>
      </c>
      <c r="L4" s="16" t="s">
        <v>77</v>
      </c>
      <c r="M4" s="16" t="s">
        <v>78</v>
      </c>
      <c r="N4" s="16" t="s">
        <v>45</v>
      </c>
      <c r="O4" s="16" t="s">
        <v>164</v>
      </c>
      <c r="P4" s="16" t="s">
        <v>165</v>
      </c>
      <c r="Q4" s="16" t="s">
        <v>166</v>
      </c>
      <c r="R4" s="16" t="s">
        <v>167</v>
      </c>
    </row>
    <row r="5" customFormat="false" ht="15" hidden="false" customHeight="false" outlineLevel="0" collapsed="false">
      <c r="A5" s="7" t="s">
        <v>168</v>
      </c>
      <c r="C5" s="17" t="s">
        <v>143</v>
      </c>
      <c r="D5" s="17" t="s">
        <v>143</v>
      </c>
      <c r="E5" s="17" t="s">
        <v>143</v>
      </c>
      <c r="F5" s="17" t="s">
        <v>143</v>
      </c>
      <c r="G5" s="17" t="s">
        <v>143</v>
      </c>
      <c r="H5" s="17" t="s">
        <v>143</v>
      </c>
      <c r="I5" s="17" t="s">
        <v>143</v>
      </c>
      <c r="J5" s="17" t="s">
        <v>143</v>
      </c>
      <c r="K5" s="17" t="s">
        <v>143</v>
      </c>
      <c r="L5" s="17" t="s">
        <v>143</v>
      </c>
      <c r="M5" s="17" t="s">
        <v>143</v>
      </c>
      <c r="N5" s="24" t="s">
        <v>13</v>
      </c>
      <c r="O5" s="24" t="s">
        <v>13</v>
      </c>
      <c r="P5" s="24" t="s">
        <v>13</v>
      </c>
      <c r="Q5" s="24" t="s">
        <v>13</v>
      </c>
      <c r="R5" s="24" t="s">
        <v>13</v>
      </c>
    </row>
    <row r="6" customFormat="false" ht="15" hidden="false" customHeight="false" outlineLevel="0" collapsed="false">
      <c r="A6" s="7" t="s">
        <v>169</v>
      </c>
      <c r="C6" s="17" t="s">
        <v>170</v>
      </c>
      <c r="D6" s="17" t="s">
        <v>170</v>
      </c>
      <c r="E6" s="17" t="s">
        <v>170</v>
      </c>
      <c r="F6" s="17" t="s">
        <v>170</v>
      </c>
      <c r="G6" s="17" t="s">
        <v>170</v>
      </c>
      <c r="H6" s="17" t="s">
        <v>170</v>
      </c>
      <c r="I6" s="17" t="s">
        <v>170</v>
      </c>
      <c r="J6" s="17" t="s">
        <v>170</v>
      </c>
      <c r="K6" s="17" t="s">
        <v>170</v>
      </c>
      <c r="L6" s="17" t="s">
        <v>170</v>
      </c>
      <c r="M6" s="17" t="s">
        <v>170</v>
      </c>
      <c r="N6" s="26" t="str">
        <f aca="false">Assumptions!$C$5</f>
        <v>Base</v>
      </c>
      <c r="O6" s="26" t="str">
        <f aca="false">Assumptions!$C$5</f>
        <v>Base</v>
      </c>
      <c r="P6" s="26" t="str">
        <f aca="false">Assumptions!$C$5</f>
        <v>Base</v>
      </c>
      <c r="Q6" s="26" t="str">
        <f aca="false">Assumptions!$C$5</f>
        <v>Base</v>
      </c>
      <c r="R6" s="26" t="str">
        <f aca="false">Assumptions!$C$5</f>
        <v>Base</v>
      </c>
    </row>
    <row r="8" customFormat="false" ht="15" hidden="false" customHeight="false" outlineLevel="0" collapsed="false">
      <c r="A8" s="5" t="s">
        <v>103</v>
      </c>
      <c r="B8" s="6"/>
      <c r="C8" s="6"/>
      <c r="D8" s="6"/>
      <c r="E8" s="6"/>
      <c r="F8" s="6"/>
      <c r="G8" s="6"/>
      <c r="H8" s="6"/>
      <c r="I8" s="6"/>
      <c r="J8" s="6"/>
      <c r="K8" s="6"/>
      <c r="L8" s="6"/>
      <c r="M8" s="6"/>
      <c r="N8" s="6"/>
      <c r="O8" s="6"/>
      <c r="P8" s="6"/>
      <c r="Q8" s="6"/>
      <c r="R8" s="6"/>
    </row>
    <row r="9" customFormat="false" ht="15" hidden="false" customHeight="false" outlineLevel="0" collapsed="false">
      <c r="A9" s="7" t="s">
        <v>104</v>
      </c>
      <c r="B9" s="17" t="s">
        <v>105</v>
      </c>
      <c r="C9" s="10" t="n">
        <f aca="false">Actuals!C9</f>
        <v>6687</v>
      </c>
      <c r="D9" s="10" t="n">
        <f aca="false">Actuals!D9</f>
        <v>6180</v>
      </c>
      <c r="E9" s="10" t="n">
        <f aca="false">Actuals!E9</f>
        <v>5899</v>
      </c>
      <c r="F9" s="10" t="n">
        <f aca="false">Actuals!F9</f>
        <v>6096</v>
      </c>
      <c r="G9" s="10" t="n">
        <f aca="false">Actuals!G9</f>
        <v>7574</v>
      </c>
      <c r="H9" s="10" t="n">
        <f aca="false">Actuals!H9</f>
        <v>6929</v>
      </c>
      <c r="I9" s="10" t="n">
        <f aca="false">Actuals!I9</f>
        <v>6328</v>
      </c>
      <c r="J9" s="10" t="n">
        <f aca="false">Actuals!J9</f>
        <v>6961</v>
      </c>
      <c r="K9" s="10" t="n">
        <f aca="false">Actuals!K9</f>
        <v>7824</v>
      </c>
      <c r="L9" s="10" t="n">
        <f aca="false">Actuals!L9</f>
        <v>6024</v>
      </c>
      <c r="M9" s="10" t="n">
        <f aca="false">Actuals!M9</f>
        <v>5086</v>
      </c>
      <c r="N9" s="27" t="n">
        <f aca="false">J9*(1+Assumptions!$F$8)</f>
        <v>5081.53</v>
      </c>
      <c r="O9" s="27" t="n">
        <f aca="false">K9*(1+Assumptions!$F$9)</f>
        <v>6885.12</v>
      </c>
      <c r="P9" s="27" t="n">
        <f aca="false">L9*(1+Assumptions!$F$9)</f>
        <v>5301.12</v>
      </c>
      <c r="Q9" s="27" t="n">
        <f aca="false">M9*(1+Assumptions!$F$9)</f>
        <v>4475.68</v>
      </c>
      <c r="R9" s="27" t="n">
        <f aca="false">N9*(1+Assumptions!$F$9)</f>
        <v>4471.7464</v>
      </c>
    </row>
    <row r="10" customFormat="false" ht="15" hidden="false" customHeight="false" outlineLevel="0" collapsed="false">
      <c r="A10" s="7" t="s">
        <v>106</v>
      </c>
      <c r="B10" s="17" t="s">
        <v>105</v>
      </c>
      <c r="C10" s="10" t="n">
        <f aca="false">Actuals!C10</f>
        <v>598</v>
      </c>
      <c r="D10" s="10" t="n">
        <f aca="false">Actuals!D10</f>
        <v>603</v>
      </c>
      <c r="E10" s="10" t="n">
        <f aca="false">Actuals!E10</f>
        <v>811</v>
      </c>
      <c r="F10" s="10" t="n">
        <f aca="false">Actuals!F10</f>
        <v>899</v>
      </c>
      <c r="G10" s="10" t="n">
        <f aca="false">Actuals!G10</f>
        <v>961</v>
      </c>
      <c r="H10" s="10" t="n">
        <f aca="false">Actuals!H10</f>
        <v>959</v>
      </c>
      <c r="I10" s="10" t="n">
        <f aca="false">Actuals!I10</f>
        <v>984</v>
      </c>
      <c r="J10" s="10" t="n">
        <f aca="false">Actuals!J10</f>
        <v>1053</v>
      </c>
      <c r="K10" s="10" t="n">
        <f aca="false">Actuals!K10</f>
        <v>1101</v>
      </c>
      <c r="L10" s="10" t="n">
        <f aca="false">Actuals!L10</f>
        <v>1326</v>
      </c>
      <c r="M10" s="10" t="n">
        <f aca="false">Actuals!M10</f>
        <v>1588</v>
      </c>
      <c r="N10" s="27" t="n">
        <f aca="false">J10*(1+Assumptions!$F$10)</f>
        <v>1684.8</v>
      </c>
      <c r="O10" s="27" t="n">
        <f aca="false">K10*(1+Assumptions!$F$11)</f>
        <v>1431.3</v>
      </c>
      <c r="P10" s="27" t="n">
        <f aca="false">L10*(1+Assumptions!$F$11)</f>
        <v>1723.8</v>
      </c>
      <c r="Q10" s="27" t="n">
        <f aca="false">M10*(1+Assumptions!$F$11)</f>
        <v>2064.4</v>
      </c>
      <c r="R10" s="27" t="n">
        <f aca="false">N10*(1+Assumptions!$F$11)</f>
        <v>2190.24</v>
      </c>
    </row>
    <row r="11" customFormat="false" ht="15" hidden="false" customHeight="false" outlineLevel="0" collapsed="false">
      <c r="A11" s="7" t="s">
        <v>107</v>
      </c>
      <c r="B11" s="17" t="s">
        <v>105</v>
      </c>
      <c r="C11" s="10" t="n">
        <f aca="false">Actuals!C11</f>
        <v>1138</v>
      </c>
      <c r="D11" s="10" t="n">
        <f aca="false">Actuals!D11</f>
        <v>1243</v>
      </c>
      <c r="E11" s="10" t="n">
        <f aca="false">Actuals!E11</f>
        <v>1359</v>
      </c>
      <c r="F11" s="10" t="n">
        <f aca="false">Actuals!F11</f>
        <v>1683</v>
      </c>
      <c r="G11" s="10" t="n">
        <f aca="false">Actuals!G11</f>
        <v>1549</v>
      </c>
      <c r="H11" s="10" t="n">
        <f aca="false">Actuals!H11</f>
        <v>1581</v>
      </c>
      <c r="I11" s="10" t="n">
        <f aca="false">Actuals!I11</f>
        <v>1681</v>
      </c>
      <c r="J11" s="10" t="n">
        <f aca="false">Actuals!J11</f>
        <v>1807</v>
      </c>
      <c r="K11" s="10" t="n">
        <f aca="false">Actuals!K11</f>
        <v>1688</v>
      </c>
      <c r="L11" s="10" t="n">
        <f aca="false">Actuals!L11</f>
        <v>1726</v>
      </c>
      <c r="M11" s="10" t="n">
        <f aca="false">Actuals!M11</f>
        <v>1830</v>
      </c>
      <c r="N11" s="27" t="n">
        <f aca="false">J11*(1+Assumptions!$F$12)</f>
        <v>1969.63</v>
      </c>
      <c r="O11" s="27" t="n">
        <f aca="false">K11*(1+Assumptions!$F$13)</f>
        <v>1856.8</v>
      </c>
      <c r="P11" s="27" t="n">
        <f aca="false">L11*(1+Assumptions!$F$13)</f>
        <v>1898.6</v>
      </c>
      <c r="Q11" s="27" t="n">
        <f aca="false">M11*(1+Assumptions!$F$13)</f>
        <v>2013</v>
      </c>
      <c r="R11" s="27" t="n">
        <f aca="false">N11*(1+Assumptions!$F$13)</f>
        <v>2166.593</v>
      </c>
    </row>
    <row r="12" customFormat="false" ht="15" hidden="false" customHeight="false" outlineLevel="0" collapsed="false">
      <c r="A12" s="3" t="s">
        <v>119</v>
      </c>
      <c r="B12" s="17" t="s">
        <v>105</v>
      </c>
      <c r="C12" s="28" t="n">
        <f aca="false">Actuals!C12</f>
        <v>8423</v>
      </c>
      <c r="D12" s="28" t="n">
        <f aca="false">Actuals!D12</f>
        <v>8026</v>
      </c>
      <c r="E12" s="28" t="n">
        <f aca="false">Actuals!E12</f>
        <v>8069</v>
      </c>
      <c r="F12" s="28" t="n">
        <f aca="false">Actuals!F12</f>
        <v>8678</v>
      </c>
      <c r="G12" s="28" t="n">
        <f aca="false">Actuals!G12</f>
        <v>10084</v>
      </c>
      <c r="H12" s="28" t="n">
        <f aca="false">Actuals!H12</f>
        <v>9469</v>
      </c>
      <c r="I12" s="28" t="n">
        <f aca="false">Actuals!I12</f>
        <v>8993</v>
      </c>
      <c r="J12" s="28" t="n">
        <f aca="false">Actuals!J12</f>
        <v>9821</v>
      </c>
      <c r="K12" s="28" t="n">
        <f aca="false">Actuals!K12</f>
        <v>10613</v>
      </c>
      <c r="L12" s="28" t="n">
        <f aca="false">Actuals!L12</f>
        <v>9076</v>
      </c>
      <c r="M12" s="28" t="n">
        <f aca="false">Actuals!M12</f>
        <v>8504</v>
      </c>
      <c r="N12" s="29" t="n">
        <f aca="false">SUM(N9:N11)</f>
        <v>8735.96</v>
      </c>
      <c r="O12" s="29" t="n">
        <f aca="false">SUM(O9:O11)</f>
        <v>10173.22</v>
      </c>
      <c r="P12" s="29" t="n">
        <f aca="false">SUM(P9:P11)</f>
        <v>8923.52</v>
      </c>
      <c r="Q12" s="29" t="n">
        <f aca="false">SUM(Q9:Q11)</f>
        <v>8553.08</v>
      </c>
      <c r="R12" s="29" t="n">
        <f aca="false">SUM(R9:R11)</f>
        <v>8828.5794</v>
      </c>
    </row>
    <row r="13" customFormat="false" ht="15" hidden="false" customHeight="false" outlineLevel="0" collapsed="false">
      <c r="A13" s="7" t="s">
        <v>109</v>
      </c>
      <c r="B13" s="17" t="s">
        <v>105</v>
      </c>
      <c r="C13" s="10" t="n">
        <f aca="false">Actuals!C13</f>
        <v>1460</v>
      </c>
      <c r="D13" s="10" t="n">
        <f aca="false">Actuals!D13</f>
        <v>1318</v>
      </c>
      <c r="E13" s="10" t="n">
        <f aca="false">Actuals!E13</f>
        <v>1273</v>
      </c>
      <c r="F13" s="10" t="n">
        <f aca="false">Actuals!F13</f>
        <v>1521</v>
      </c>
      <c r="G13" s="10" t="n">
        <f aca="false">Actuals!G13</f>
        <v>1535</v>
      </c>
      <c r="H13" s="10" t="n">
        <f aca="false">Actuals!H13</f>
        <v>1319</v>
      </c>
      <c r="I13" s="10" t="n">
        <f aca="false">Actuals!I13</f>
        <v>1318</v>
      </c>
      <c r="J13" s="10" t="n">
        <f aca="false">Actuals!J13</f>
        <v>1409</v>
      </c>
      <c r="K13" s="10" t="n">
        <f aca="false">Actuals!K13</f>
        <v>1592</v>
      </c>
      <c r="L13" s="10" t="n">
        <f aca="false">Actuals!L13</f>
        <v>1382</v>
      </c>
      <c r="M13" s="10" t="n">
        <f aca="false">Actuals!M13</f>
        <v>1278</v>
      </c>
      <c r="N13" s="27" t="n">
        <f aca="false">J13*(1+Assumptions!$F$14)</f>
        <v>1296.28</v>
      </c>
      <c r="O13" s="27" t="n">
        <f aca="false">K13*(1+Assumptions!$F$15)</f>
        <v>1544.24</v>
      </c>
      <c r="P13" s="27" t="n">
        <f aca="false">L13*(1+Assumptions!$F$15)</f>
        <v>1340.54</v>
      </c>
      <c r="Q13" s="27" t="n">
        <f aca="false">M13*(1+Assumptions!$F$15)</f>
        <v>1239.66</v>
      </c>
      <c r="R13" s="27" t="n">
        <f aca="false">N13*(1+Assumptions!$F$15)</f>
        <v>1257.3916</v>
      </c>
    </row>
    <row r="14" customFormat="false" ht="15" hidden="false" customHeight="false" outlineLevel="0" collapsed="false">
      <c r="A14" s="3" t="s">
        <v>110</v>
      </c>
      <c r="B14" s="17" t="s">
        <v>105</v>
      </c>
      <c r="C14" s="20" t="n">
        <f aca="false">C12+C13</f>
        <v>9883</v>
      </c>
      <c r="D14" s="20" t="n">
        <f aca="false">D12+D13</f>
        <v>9344</v>
      </c>
      <c r="E14" s="20" t="n">
        <f aca="false">E12+E13</f>
        <v>9342</v>
      </c>
      <c r="F14" s="20" t="n">
        <f aca="false">F12+F13</f>
        <v>10199</v>
      </c>
      <c r="G14" s="20" t="n">
        <f aca="false">G12+G13</f>
        <v>11619</v>
      </c>
      <c r="H14" s="20" t="n">
        <f aca="false">H12+H13</f>
        <v>10788</v>
      </c>
      <c r="I14" s="20" t="n">
        <f aca="false">I12+I13</f>
        <v>10311</v>
      </c>
      <c r="J14" s="20" t="n">
        <f aca="false">J12+J13</f>
        <v>11230</v>
      </c>
      <c r="K14" s="20" t="n">
        <f aca="false">K12+K13</f>
        <v>12205</v>
      </c>
      <c r="L14" s="20" t="n">
        <f aca="false">L12+L13</f>
        <v>10458</v>
      </c>
      <c r="M14" s="20" t="n">
        <f aca="false">M12+M13</f>
        <v>9782</v>
      </c>
      <c r="N14" s="29" t="n">
        <f aca="false">N12+N13</f>
        <v>10032.24</v>
      </c>
      <c r="O14" s="29" t="n">
        <f aca="false">O12+O13</f>
        <v>11717.46</v>
      </c>
      <c r="P14" s="29" t="n">
        <f aca="false">P12+P13</f>
        <v>10264.06</v>
      </c>
      <c r="Q14" s="29" t="n">
        <f aca="false">Q12+Q13</f>
        <v>9792.74</v>
      </c>
      <c r="R14" s="29" t="n">
        <f aca="false">R12+R13</f>
        <v>10085.971</v>
      </c>
    </row>
    <row r="16" customFormat="false" ht="15" hidden="false" customHeight="false" outlineLevel="0" collapsed="false">
      <c r="A16" s="5" t="s">
        <v>111</v>
      </c>
      <c r="B16" s="6"/>
      <c r="C16" s="6"/>
      <c r="D16" s="6"/>
      <c r="E16" s="6"/>
      <c r="F16" s="6"/>
      <c r="G16" s="6"/>
      <c r="H16" s="6"/>
      <c r="I16" s="6"/>
      <c r="J16" s="6"/>
      <c r="K16" s="6"/>
      <c r="L16" s="6"/>
      <c r="M16" s="6"/>
      <c r="N16" s="6"/>
      <c r="O16" s="6"/>
      <c r="P16" s="6"/>
      <c r="Q16" s="6"/>
      <c r="R16" s="6"/>
    </row>
    <row r="17" customFormat="false" ht="15" hidden="false" customHeight="false" outlineLevel="0" collapsed="false">
      <c r="A17" s="7" t="s">
        <v>112</v>
      </c>
      <c r="B17" s="17" t="s">
        <v>105</v>
      </c>
      <c r="C17" s="10" t="n">
        <f aca="false">Actuals!C17</f>
        <v>2593</v>
      </c>
      <c r="D17" s="10" t="n">
        <f aca="false">Actuals!D17</f>
        <v>2288</v>
      </c>
      <c r="E17" s="10" t="n">
        <f aca="false">Actuals!E17</f>
        <v>2181</v>
      </c>
      <c r="F17" s="10" t="n">
        <f aca="false">Actuals!F17</f>
        <v>2465</v>
      </c>
      <c r="G17" s="10" t="n">
        <f aca="false">Actuals!G17</f>
        <v>3246</v>
      </c>
      <c r="H17" s="10" t="n">
        <f aca="false">Actuals!H17</f>
        <v>2857</v>
      </c>
      <c r="I17" s="10" t="n">
        <f aca="false">Actuals!I17</f>
        <v>2671</v>
      </c>
      <c r="J17" s="10" t="n">
        <f aca="false">Actuals!J17</f>
        <v>2896</v>
      </c>
      <c r="K17" s="10" t="n">
        <f aca="false">Actuals!K17</f>
        <v>3302</v>
      </c>
      <c r="L17" s="10" t="n">
        <f aca="false">Actuals!L17</f>
        <v>2465</v>
      </c>
      <c r="M17" s="10" t="n">
        <f aca="false">Actuals!M17</f>
        <v>2192</v>
      </c>
      <c r="N17" s="27" t="n">
        <f aca="false">N12*Assumptions!$F$16</f>
        <v>2096.6304</v>
      </c>
      <c r="O17" s="27" t="n">
        <f aca="false">O12*Assumptions!$F$17</f>
        <v>2645.0372</v>
      </c>
      <c r="P17" s="27" t="n">
        <f aca="false">P12*Assumptions!$F$17</f>
        <v>2320.1152</v>
      </c>
      <c r="Q17" s="27" t="n">
        <f aca="false">Q12*Assumptions!$F$17</f>
        <v>2223.8008</v>
      </c>
      <c r="R17" s="27" t="n">
        <f aca="false">R12*Assumptions!$F$17</f>
        <v>2295.430644</v>
      </c>
    </row>
    <row r="18" customFormat="false" ht="15" hidden="false" customHeight="false" outlineLevel="0" collapsed="false">
      <c r="A18" s="7" t="s">
        <v>113</v>
      </c>
      <c r="B18" s="17" t="s">
        <v>105</v>
      </c>
      <c r="C18" s="10" t="n">
        <f aca="false">Actuals!C18</f>
        <v>1080</v>
      </c>
      <c r="D18" s="10" t="n">
        <f aca="false">Actuals!D18</f>
        <v>933</v>
      </c>
      <c r="E18" s="10" t="n">
        <f aca="false">Actuals!E18</f>
        <v>894</v>
      </c>
      <c r="F18" s="10" t="n">
        <f aca="false">Actuals!F18</f>
        <v>1120</v>
      </c>
      <c r="G18" s="10" t="n">
        <f aca="false">Actuals!G18</f>
        <v>1158</v>
      </c>
      <c r="H18" s="10" t="n">
        <f aca="false">Actuals!H18</f>
        <v>929</v>
      </c>
      <c r="I18" s="10" t="n">
        <f aca="false">Actuals!I18</f>
        <v>942</v>
      </c>
      <c r="J18" s="10" t="n">
        <f aca="false">Actuals!J18</f>
        <v>1015</v>
      </c>
      <c r="K18" s="10" t="n">
        <f aca="false">Actuals!K18</f>
        <v>1231</v>
      </c>
      <c r="L18" s="10" t="n">
        <f aca="false">Actuals!L18</f>
        <v>994</v>
      </c>
      <c r="M18" s="10" t="n">
        <f aca="false">Actuals!M18</f>
        <v>881</v>
      </c>
      <c r="N18" s="27" t="n">
        <f aca="false">N13*Assumptions!$F$18</f>
        <v>907.396</v>
      </c>
      <c r="O18" s="27" t="n">
        <f aca="false">O13*Assumptions!$F$19</f>
        <v>1080.968</v>
      </c>
      <c r="P18" s="27" t="n">
        <f aca="false">P13*Assumptions!$F$19</f>
        <v>938.378</v>
      </c>
      <c r="Q18" s="27" t="n">
        <f aca="false">Q13*Assumptions!$F$19</f>
        <v>867.762</v>
      </c>
      <c r="R18" s="27" t="n">
        <f aca="false">R13*Assumptions!$F$19</f>
        <v>880.17412</v>
      </c>
    </row>
    <row r="19" customFormat="false" ht="15" hidden="false" customHeight="false" outlineLevel="0" collapsed="false">
      <c r="A19" s="3" t="s">
        <v>114</v>
      </c>
      <c r="B19" s="17" t="s">
        <v>105</v>
      </c>
      <c r="C19" s="20" t="n">
        <f aca="false">C17+C18</f>
        <v>3673</v>
      </c>
      <c r="D19" s="20" t="n">
        <f aca="false">D17+D18</f>
        <v>3221</v>
      </c>
      <c r="E19" s="20" t="n">
        <f aca="false">E17+E18</f>
        <v>3075</v>
      </c>
      <c r="F19" s="20" t="n">
        <f aca="false">F17+F18</f>
        <v>3585</v>
      </c>
      <c r="G19" s="20" t="n">
        <f aca="false">G17+G18</f>
        <v>4404</v>
      </c>
      <c r="H19" s="20" t="n">
        <f aca="false">H17+H18</f>
        <v>3786</v>
      </c>
      <c r="I19" s="20" t="n">
        <f aca="false">I17+I18</f>
        <v>3613</v>
      </c>
      <c r="J19" s="20" t="n">
        <f aca="false">J17+J18</f>
        <v>3911</v>
      </c>
      <c r="K19" s="20" t="n">
        <f aca="false">K17+K18</f>
        <v>4533</v>
      </c>
      <c r="L19" s="20" t="n">
        <f aca="false">L17+L18</f>
        <v>3459</v>
      </c>
      <c r="M19" s="20" t="n">
        <f aca="false">M17+M18</f>
        <v>3073</v>
      </c>
      <c r="N19" s="29" t="n">
        <f aca="false">N17+N18</f>
        <v>3004.0264</v>
      </c>
      <c r="O19" s="29" t="n">
        <f aca="false">O17+O18</f>
        <v>3726.0052</v>
      </c>
      <c r="P19" s="29" t="n">
        <f aca="false">P17+P18</f>
        <v>3258.4932</v>
      </c>
      <c r="Q19" s="29" t="n">
        <f aca="false">Q17+Q18</f>
        <v>3091.5628</v>
      </c>
      <c r="R19" s="29" t="n">
        <f aca="false">R17+R18</f>
        <v>3175.604764</v>
      </c>
    </row>
    <row r="21" customFormat="false" ht="15" hidden="false" customHeight="false" outlineLevel="0" collapsed="false">
      <c r="A21" s="5" t="s">
        <v>115</v>
      </c>
      <c r="B21" s="6"/>
      <c r="C21" s="6"/>
      <c r="D21" s="6"/>
      <c r="E21" s="6"/>
      <c r="F21" s="6"/>
      <c r="G21" s="6"/>
      <c r="H21" s="6"/>
      <c r="I21" s="6"/>
      <c r="J21" s="6"/>
      <c r="K21" s="6"/>
      <c r="L21" s="6"/>
      <c r="M21" s="6"/>
      <c r="N21" s="6"/>
      <c r="O21" s="6"/>
      <c r="P21" s="6"/>
      <c r="Q21" s="6"/>
      <c r="R21" s="6"/>
    </row>
    <row r="22" customFormat="false" ht="15" hidden="false" customHeight="false" outlineLevel="0" collapsed="false">
      <c r="A22" s="7" t="s">
        <v>58</v>
      </c>
      <c r="B22" s="17" t="s">
        <v>116</v>
      </c>
      <c r="C22" s="21" t="n">
        <f aca="false">IF(C12=0,0,C17/C12)</f>
        <v>0.307847560251692</v>
      </c>
      <c r="D22" s="21" t="n">
        <f aca="false">IF(D12=0,0,D17/D12)</f>
        <v>0.285073511088961</v>
      </c>
      <c r="E22" s="21" t="n">
        <f aca="false">IF(E12=0,0,E17/E12)</f>
        <v>0.270293716693518</v>
      </c>
      <c r="F22" s="21" t="n">
        <f aca="false">IF(F12=0,0,F17/F12)</f>
        <v>0.284051624798341</v>
      </c>
      <c r="G22" s="21" t="n">
        <f aca="false">IF(G12=0,0,G17/G12)</f>
        <v>0.32189607298691</v>
      </c>
      <c r="H22" s="21" t="n">
        <f aca="false">IF(H12=0,0,H17/H12)</f>
        <v>0.301721406695533</v>
      </c>
      <c r="I22" s="21" t="n">
        <f aca="false">IF(I12=0,0,I17/I12)</f>
        <v>0.297008784610252</v>
      </c>
      <c r="J22" s="21" t="n">
        <f aca="false">IF(J12=0,0,J17/J12)</f>
        <v>0.29487832196314</v>
      </c>
      <c r="K22" s="21" t="n">
        <f aca="false">IF(K12=0,0,K17/K12)</f>
        <v>0.311127862055969</v>
      </c>
      <c r="L22" s="21" t="n">
        <f aca="false">IF(L12=0,0,L17/L12)</f>
        <v>0.271595416483032</v>
      </c>
      <c r="M22" s="21" t="n">
        <f aca="false">IF(M12=0,0,M17/M12)</f>
        <v>0.257761053621825</v>
      </c>
      <c r="N22" s="30" t="n">
        <f aca="false">IF(N12=0,0,N17/N12)</f>
        <v>0.24</v>
      </c>
      <c r="O22" s="30" t="n">
        <f aca="false">IF(O12=0,0,O17/O12)</f>
        <v>0.26</v>
      </c>
      <c r="P22" s="30" t="n">
        <f aca="false">IF(P12=0,0,P17/P12)</f>
        <v>0.26</v>
      </c>
      <c r="Q22" s="30" t="n">
        <f aca="false">IF(Q12=0,0,Q17/Q12)</f>
        <v>0.26</v>
      </c>
      <c r="R22" s="30" t="n">
        <f aca="false">IF(R12=0,0,R17/R12)</f>
        <v>0.26</v>
      </c>
    </row>
    <row r="23" customFormat="false" ht="15" hidden="false" customHeight="false" outlineLevel="0" collapsed="false">
      <c r="A23" s="7" t="s">
        <v>61</v>
      </c>
      <c r="B23" s="17" t="s">
        <v>116</v>
      </c>
      <c r="C23" s="21" t="n">
        <f aca="false">IF(C13=0,0,C18/C13)</f>
        <v>0.73972602739726</v>
      </c>
      <c r="D23" s="21" t="n">
        <f aca="false">IF(D13=0,0,D18/D13)</f>
        <v>0.707890743550835</v>
      </c>
      <c r="E23" s="21" t="n">
        <f aca="false">IF(E13=0,0,E18/E13)</f>
        <v>0.702278083267871</v>
      </c>
      <c r="F23" s="21" t="n">
        <f aca="false">IF(F13=0,0,F18/F13)</f>
        <v>0.736357659434583</v>
      </c>
      <c r="G23" s="21" t="n">
        <f aca="false">IF(G13=0,0,G18/G13)</f>
        <v>0.754397394136808</v>
      </c>
      <c r="H23" s="21" t="n">
        <f aca="false">IF(H13=0,0,H18/H13)</f>
        <v>0.704321455648218</v>
      </c>
      <c r="I23" s="21" t="n">
        <f aca="false">IF(I13=0,0,I18/I13)</f>
        <v>0.714719271623672</v>
      </c>
      <c r="J23" s="21" t="n">
        <f aca="false">IF(J13=0,0,J18/J13)</f>
        <v>0.720369056068133</v>
      </c>
      <c r="K23" s="21" t="n">
        <f aca="false">IF(K13=0,0,K18/K13)</f>
        <v>0.773241206030151</v>
      </c>
      <c r="L23" s="21" t="n">
        <f aca="false">IF(L13=0,0,L18/L13)</f>
        <v>0.719247467438495</v>
      </c>
      <c r="M23" s="21" t="n">
        <f aca="false">IF(M13=0,0,M18/M13)</f>
        <v>0.689358372456964</v>
      </c>
      <c r="N23" s="30" t="n">
        <f aca="false">IF(N13=0,0,N18/N13)</f>
        <v>0.7</v>
      </c>
      <c r="O23" s="30" t="n">
        <f aca="false">IF(O13=0,0,O18/O13)</f>
        <v>0.7</v>
      </c>
      <c r="P23" s="30" t="n">
        <f aca="false">IF(P13=0,0,P18/P13)</f>
        <v>0.7</v>
      </c>
      <c r="Q23" s="30" t="n">
        <f aca="false">IF(Q13=0,0,Q18/Q13)</f>
        <v>0.7</v>
      </c>
      <c r="R23" s="30" t="n">
        <f aca="false">IF(R13=0,0,R18/R13)</f>
        <v>0.7</v>
      </c>
    </row>
    <row r="25" customFormat="false" ht="15" hidden="false" customHeight="false" outlineLevel="0" collapsed="false">
      <c r="A25" s="5" t="s">
        <v>171</v>
      </c>
      <c r="B25" s="6"/>
      <c r="C25" s="6"/>
      <c r="D25" s="6"/>
      <c r="E25" s="6"/>
      <c r="F25" s="6"/>
      <c r="G25" s="6"/>
      <c r="H25" s="6"/>
      <c r="I25" s="6"/>
      <c r="J25" s="6"/>
      <c r="K25" s="6"/>
      <c r="L25" s="6"/>
      <c r="M25" s="6"/>
      <c r="N25" s="6"/>
      <c r="O25" s="6"/>
      <c r="P25" s="6"/>
      <c r="Q25" s="6"/>
      <c r="R25" s="6"/>
    </row>
    <row r="26" customFormat="false" ht="15" hidden="false" customHeight="false" outlineLevel="0" collapsed="false">
      <c r="A26" s="7" t="s">
        <v>172</v>
      </c>
      <c r="B26" s="17" t="s">
        <v>116</v>
      </c>
      <c r="C26" s="17" t="s">
        <v>118</v>
      </c>
      <c r="D26" s="17" t="s">
        <v>118</v>
      </c>
      <c r="E26" s="17" t="s">
        <v>118</v>
      </c>
      <c r="F26" s="17" t="s">
        <v>118</v>
      </c>
      <c r="G26" s="21" t="n">
        <f aca="false">IF(C14=0,0,G14/C14-1)</f>
        <v>0.175655165435596</v>
      </c>
      <c r="H26" s="21" t="n">
        <f aca="false">IF(D14=0,0,H14/D14-1)</f>
        <v>0.154537671232877</v>
      </c>
      <c r="I26" s="21" t="n">
        <f aca="false">IF(E14=0,0,I14/E14-1)</f>
        <v>0.103725112395633</v>
      </c>
      <c r="J26" s="21" t="n">
        <f aca="false">IF(F14=0,0,J14/F14-1)</f>
        <v>0.101088341994313</v>
      </c>
      <c r="K26" s="21" t="n">
        <f aca="false">IF(G14=0,0,K14/G14-1)</f>
        <v>0.0504346329288234</v>
      </c>
      <c r="L26" s="21" t="n">
        <f aca="false">IF(H14=0,0,L14/H14-1)</f>
        <v>-0.0305895439377085</v>
      </c>
      <c r="M26" s="21" t="n">
        <f aca="false">IF(I14=0,0,M14/I14-1)</f>
        <v>-0.0513044321598293</v>
      </c>
      <c r="N26" s="30" t="n">
        <f aca="false">IF(J14=0,0,N14/J14-1)</f>
        <v>-0.106657168299199</v>
      </c>
      <c r="O26" s="30" t="n">
        <f aca="false">IF(K14=0,0,O14/K14-1)</f>
        <v>-0.0399459238017206</v>
      </c>
      <c r="P26" s="30" t="n">
        <f aca="false">IF(L14=0,0,P14/L14-1)</f>
        <v>-0.0185446548097149</v>
      </c>
      <c r="Q26" s="30" t="n">
        <f aca="false">IF(M14=0,0,Q14/M14-1)</f>
        <v>0.00109793498262123</v>
      </c>
      <c r="R26" s="30" t="n">
        <f aca="false">IF(N14=0,0,R14/N14-1)</f>
        <v>0.0053558327950689</v>
      </c>
    </row>
    <row r="27" customFormat="false" ht="15" hidden="false" customHeight="false" outlineLevel="0" collapsed="false">
      <c r="A27" s="3" t="s">
        <v>173</v>
      </c>
      <c r="B27" s="17" t="s">
        <v>105</v>
      </c>
      <c r="C27" s="22" t="n">
        <f aca="false">C10+C11</f>
        <v>1736</v>
      </c>
      <c r="D27" s="22" t="n">
        <f aca="false">D10+D11</f>
        <v>1846</v>
      </c>
      <c r="E27" s="22" t="n">
        <f aca="false">E10+E11</f>
        <v>2170</v>
      </c>
      <c r="F27" s="22" t="n">
        <f aca="false">F10+F11</f>
        <v>2582</v>
      </c>
      <c r="G27" s="22" t="n">
        <f aca="false">G10+G11</f>
        <v>2510</v>
      </c>
      <c r="H27" s="22" t="n">
        <f aca="false">H10+H11</f>
        <v>2540</v>
      </c>
      <c r="I27" s="22" t="n">
        <f aca="false">I10+I11</f>
        <v>2665</v>
      </c>
      <c r="J27" s="22" t="n">
        <f aca="false">J10+J11</f>
        <v>2860</v>
      </c>
      <c r="K27" s="22" t="n">
        <f aca="false">K10+K11</f>
        <v>2789</v>
      </c>
      <c r="L27" s="22" t="n">
        <f aca="false">L10+L11</f>
        <v>3052</v>
      </c>
      <c r="M27" s="22" t="n">
        <f aca="false">M10+M11</f>
        <v>3418</v>
      </c>
      <c r="N27" s="31" t="n">
        <f aca="false">N10+N11</f>
        <v>3654.43</v>
      </c>
      <c r="O27" s="31" t="n">
        <f aca="false">O10+O11</f>
        <v>3288.1</v>
      </c>
      <c r="P27" s="31" t="n">
        <f aca="false">P10+P11</f>
        <v>3622.4</v>
      </c>
      <c r="Q27" s="31" t="n">
        <f aca="false">Q10+Q11</f>
        <v>4077.4</v>
      </c>
      <c r="R27" s="31" t="n">
        <f aca="false">R10+R11</f>
        <v>4356.833</v>
      </c>
    </row>
    <row r="28" customFormat="false" ht="15" hidden="false" customHeight="false" outlineLevel="0" collapsed="false">
      <c r="A28" s="7" t="s">
        <v>174</v>
      </c>
      <c r="B28" s="17" t="s">
        <v>116</v>
      </c>
      <c r="C28" s="21" t="n">
        <f aca="false">IF(C12=0,0,C27/C12)</f>
        <v>0.206102338834145</v>
      </c>
      <c r="D28" s="21" t="n">
        <f aca="false">IF(D12=0,0,D27/D12)</f>
        <v>0.230002491901321</v>
      </c>
      <c r="E28" s="21" t="n">
        <f aca="false">IF(E12=0,0,E27/E12)</f>
        <v>0.268930474656091</v>
      </c>
      <c r="F28" s="21" t="n">
        <f aca="false">IF(F12=0,0,F27/F12)</f>
        <v>0.297533994007836</v>
      </c>
      <c r="G28" s="21" t="n">
        <f aca="false">IF(G12=0,0,G27/G12)</f>
        <v>0.248909163030543</v>
      </c>
      <c r="H28" s="21" t="n">
        <f aca="false">IF(H12=0,0,H27/H12)</f>
        <v>0.268243742739466</v>
      </c>
      <c r="I28" s="21" t="n">
        <f aca="false">IF(I12=0,0,I27/I12)</f>
        <v>0.296341599021461</v>
      </c>
      <c r="J28" s="21" t="n">
        <f aca="false">IF(J12=0,0,J27/J12)</f>
        <v>0.291212707463598</v>
      </c>
      <c r="K28" s="21" t="n">
        <f aca="false">IF(K12=0,0,K27/K12)</f>
        <v>0.262790916800151</v>
      </c>
      <c r="L28" s="21" t="n">
        <f aca="false">IF(L12=0,0,L27/L12)</f>
        <v>0.336271485235787</v>
      </c>
      <c r="M28" s="21" t="n">
        <f aca="false">IF(M12=0,0,M27/M12)</f>
        <v>0.401928504233302</v>
      </c>
      <c r="N28" s="30" t="n">
        <f aca="false">IF(N12=0,0,N27/N12)</f>
        <v>0.418320367767252</v>
      </c>
      <c r="O28" s="30" t="n">
        <f aca="false">IF(O12=0,0,O27/O12)</f>
        <v>0.32321133328484</v>
      </c>
      <c r="P28" s="30" t="n">
        <f aca="false">IF(P12=0,0,P27/P12)</f>
        <v>0.405938463745249</v>
      </c>
      <c r="Q28" s="30" t="n">
        <f aca="false">IF(Q12=0,0,Q27/Q12)</f>
        <v>0.476717159198792</v>
      </c>
      <c r="R28" s="30" t="n">
        <f aca="false">IF(R12=0,0,R27/R12)</f>
        <v>0.493491965423112</v>
      </c>
    </row>
    <row r="29" customFormat="false" ht="15" hidden="false" customHeight="false" outlineLevel="0" collapsed="false">
      <c r="A29" s="7" t="s">
        <v>175</v>
      </c>
      <c r="B29" s="17" t="s">
        <v>116</v>
      </c>
      <c r="C29" s="17" t="s">
        <v>118</v>
      </c>
      <c r="D29" s="17" t="s">
        <v>118</v>
      </c>
      <c r="E29" s="17" t="s">
        <v>118</v>
      </c>
      <c r="F29" s="17" t="s">
        <v>118</v>
      </c>
      <c r="G29" s="21" t="n">
        <f aca="false">IF(C27=0,0,G27/C27-1)</f>
        <v>0.445852534562212</v>
      </c>
      <c r="H29" s="21" t="n">
        <f aca="false">IF(D27=0,0,H27/D27-1)</f>
        <v>0.375947995666305</v>
      </c>
      <c r="I29" s="21" t="n">
        <f aca="false">IF(E27=0,0,I27/E27-1)</f>
        <v>0.228110599078341</v>
      </c>
      <c r="J29" s="21" t="n">
        <f aca="false">IF(F27=0,0,J27/F27-1)</f>
        <v>0.107668474051123</v>
      </c>
      <c r="K29" s="21" t="n">
        <f aca="false">IF(G27=0,0,K27/G27-1)</f>
        <v>0.111155378486056</v>
      </c>
      <c r="L29" s="21" t="n">
        <f aca="false">IF(H27=0,0,L27/H27-1)</f>
        <v>0.201574803149606</v>
      </c>
      <c r="M29" s="21" t="n">
        <f aca="false">IF(I27=0,0,M27/I27-1)</f>
        <v>0.282551594746717</v>
      </c>
      <c r="N29" s="30" t="n">
        <f aca="false">IF(J27=0,0,N27/J27-1)</f>
        <v>0.277772727272727</v>
      </c>
      <c r="O29" s="30" t="n">
        <f aca="false">IF(K27=0,0,O27/K27-1)</f>
        <v>0.178953029759771</v>
      </c>
      <c r="P29" s="30" t="n">
        <f aca="false">IF(L27=0,0,P27/L27-1)</f>
        <v>0.186893840104849</v>
      </c>
      <c r="Q29" s="30" t="n">
        <f aca="false">IF(M27=0,0,Q27/M27-1)</f>
        <v>0.192919836161498</v>
      </c>
      <c r="R29" s="30" t="n">
        <f aca="false">IF(N27=0,0,R27/N27-1)</f>
        <v>0.192205898047028</v>
      </c>
    </row>
    <row r="30" customFormat="false" ht="15" hidden="false" customHeight="false" outlineLevel="0" collapsed="false">
      <c r="A30" s="7" t="s">
        <v>176</v>
      </c>
      <c r="B30" s="17" t="s">
        <v>116</v>
      </c>
      <c r="C30" s="17" t="s">
        <v>118</v>
      </c>
      <c r="D30" s="17" t="s">
        <v>118</v>
      </c>
      <c r="E30" s="17" t="s">
        <v>118</v>
      </c>
      <c r="F30" s="17" t="s">
        <v>118</v>
      </c>
      <c r="G30" s="21" t="n">
        <f aca="false">IF(C9=0,0,G9/C9-1)</f>
        <v>0.132645431434126</v>
      </c>
      <c r="H30" s="21" t="n">
        <f aca="false">IF(D9=0,0,H9/D9-1)</f>
        <v>0.121197411003236</v>
      </c>
      <c r="I30" s="21" t="n">
        <f aca="false">IF(E9=0,0,I9/E9-1)</f>
        <v>0.0727241905407696</v>
      </c>
      <c r="J30" s="21" t="n">
        <f aca="false">IF(F9=0,0,J9/F9-1)</f>
        <v>0.141896325459318</v>
      </c>
      <c r="K30" s="21" t="n">
        <f aca="false">IF(G9=0,0,K9/G9-1)</f>
        <v>0.0330076577766041</v>
      </c>
      <c r="L30" s="21" t="n">
        <f aca="false">IF(H9=0,0,L9/H9-1)</f>
        <v>-0.13061047770241</v>
      </c>
      <c r="M30" s="21" t="n">
        <f aca="false">IF(I9=0,0,M9/I9-1)</f>
        <v>-0.196270543615676</v>
      </c>
      <c r="N30" s="30" t="n">
        <f aca="false">IF(J9=0,0,N9/J9-1)</f>
        <v>-0.27</v>
      </c>
      <c r="O30" s="30" t="n">
        <f aca="false">IF(K9=0,0,O9/K9-1)</f>
        <v>-0.12</v>
      </c>
      <c r="P30" s="30" t="n">
        <f aca="false">IF(L9=0,0,P9/L9-1)</f>
        <v>-0.12</v>
      </c>
      <c r="Q30" s="30" t="n">
        <f aca="false">IF(M9=0,0,Q9/M9-1)</f>
        <v>-0.12</v>
      </c>
      <c r="R30" s="30" t="n">
        <f aca="false">IF(N9=0,0,R9/N9-1)</f>
        <v>-0.12</v>
      </c>
    </row>
    <row r="32" customFormat="false" ht="15" hidden="false" customHeight="false" outlineLevel="0" collapsed="false">
      <c r="A32" s="2" t="s">
        <v>177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6" min="3" style="0" width="13"/>
  </cols>
  <sheetData>
    <row r="1" customFormat="false" ht="17.35" hidden="false" customHeight="false" outlineLevel="0" collapsed="false">
      <c r="A1" s="1" t="s">
        <v>178</v>
      </c>
    </row>
    <row r="2" customFormat="false" ht="15" hidden="false" customHeight="false" outlineLevel="0" collapsed="false">
      <c r="A2" s="2" t="s">
        <v>179</v>
      </c>
    </row>
    <row r="4" customFormat="false" ht="15" hidden="false" customHeight="false" outlineLevel="0" collapsed="false">
      <c r="A4" s="15" t="s">
        <v>66</v>
      </c>
      <c r="B4" s="16" t="s">
        <v>67</v>
      </c>
      <c r="C4" s="16" t="s">
        <v>180</v>
      </c>
      <c r="D4" s="16" t="s">
        <v>181</v>
      </c>
      <c r="E4" s="16" t="s">
        <v>182</v>
      </c>
      <c r="F4" s="16" t="s">
        <v>183</v>
      </c>
    </row>
    <row r="5" customFormat="false" ht="15" hidden="false" customHeight="false" outlineLevel="0" collapsed="false">
      <c r="A5" s="7" t="s">
        <v>184</v>
      </c>
      <c r="C5" s="32" t="s">
        <v>143</v>
      </c>
      <c r="D5" s="32" t="s">
        <v>143</v>
      </c>
      <c r="E5" s="32" t="s">
        <v>185</v>
      </c>
      <c r="F5" s="32" t="s">
        <v>13</v>
      </c>
    </row>
    <row r="6" customFormat="false" ht="15" hidden="false" customHeight="false" outlineLevel="0" collapsed="false">
      <c r="A6" s="7" t="s">
        <v>169</v>
      </c>
      <c r="C6" s="4" t="str">
        <f aca="false">Assumptions!$C$5</f>
        <v>Base</v>
      </c>
    </row>
    <row r="7" customFormat="false" ht="15" hidden="false" customHeight="false" outlineLevel="0" collapsed="false">
      <c r="A7" s="5" t="s">
        <v>186</v>
      </c>
      <c r="B7" s="6"/>
      <c r="C7" s="6"/>
      <c r="D7" s="6"/>
      <c r="E7" s="6"/>
      <c r="F7" s="6"/>
    </row>
    <row r="8" customFormat="false" ht="15" hidden="false" customHeight="false" outlineLevel="0" collapsed="false">
      <c r="A8" s="7" t="s">
        <v>104</v>
      </c>
      <c r="B8" s="17" t="s">
        <v>105</v>
      </c>
      <c r="C8" s="9" t="n">
        <f aca="false">SUM(Forecast!C9:F9)</f>
        <v>24862</v>
      </c>
      <c r="D8" s="9" t="n">
        <f aca="false">SUM(Forecast!G9:J9)</f>
        <v>27792</v>
      </c>
      <c r="E8" s="9" t="n">
        <f aca="false">SUM(Forecast!K9:N9)</f>
        <v>24015.53</v>
      </c>
      <c r="F8" s="9" t="n">
        <f aca="false">SUM(Forecast!O9:R9)</f>
        <v>21133.6664</v>
      </c>
    </row>
    <row r="9" customFormat="false" ht="15" hidden="false" customHeight="false" outlineLevel="0" collapsed="false">
      <c r="A9" s="7" t="s">
        <v>106</v>
      </c>
      <c r="B9" s="17" t="s">
        <v>105</v>
      </c>
      <c r="C9" s="9" t="n">
        <f aca="false">SUM(Forecast!C10:F10)</f>
        <v>2911</v>
      </c>
      <c r="D9" s="9" t="n">
        <f aca="false">SUM(Forecast!G10:J10)</f>
        <v>3957</v>
      </c>
      <c r="E9" s="9" t="n">
        <f aca="false">SUM(Forecast!K10:N10)</f>
        <v>5699.8</v>
      </c>
      <c r="F9" s="9" t="n">
        <f aca="false">SUM(Forecast!O10:R10)</f>
        <v>7409.74</v>
      </c>
    </row>
    <row r="10" customFormat="false" ht="15" hidden="false" customHeight="false" outlineLevel="0" collapsed="false">
      <c r="A10" s="7" t="s">
        <v>107</v>
      </c>
      <c r="B10" s="17" t="s">
        <v>105</v>
      </c>
      <c r="C10" s="9" t="n">
        <f aca="false">SUM(Forecast!C11:F11)</f>
        <v>5423</v>
      </c>
      <c r="D10" s="9" t="n">
        <f aca="false">SUM(Forecast!G11:J11)</f>
        <v>6618</v>
      </c>
      <c r="E10" s="9" t="n">
        <f aca="false">SUM(Forecast!K11:N11)</f>
        <v>7213.63</v>
      </c>
      <c r="F10" s="9" t="n">
        <f aca="false">SUM(Forecast!O11:R11)</f>
        <v>7934.993</v>
      </c>
    </row>
    <row r="11" customFormat="false" ht="15" hidden="false" customHeight="false" outlineLevel="0" collapsed="false">
      <c r="A11" s="3" t="s">
        <v>119</v>
      </c>
      <c r="B11" s="17" t="s">
        <v>105</v>
      </c>
      <c r="C11" s="22" t="n">
        <f aca="false">SUM(Forecast!C12:F12)</f>
        <v>33196</v>
      </c>
      <c r="D11" s="22" t="n">
        <f aca="false">SUM(Forecast!G12:J12)</f>
        <v>38367</v>
      </c>
      <c r="E11" s="22" t="n">
        <f aca="false">SUM(Forecast!K12:N12)</f>
        <v>36928.96</v>
      </c>
      <c r="F11" s="22" t="n">
        <f aca="false">SUM(Forecast!O12:R12)</f>
        <v>36478.3994</v>
      </c>
    </row>
    <row r="12" customFormat="false" ht="15" hidden="false" customHeight="false" outlineLevel="0" collapsed="false">
      <c r="A12" s="7" t="s">
        <v>109</v>
      </c>
      <c r="B12" s="17" t="s">
        <v>105</v>
      </c>
      <c r="C12" s="9" t="n">
        <f aca="false">SUM(Forecast!C13:F13)</f>
        <v>5572</v>
      </c>
      <c r="D12" s="9" t="n">
        <f aca="false">SUM(Forecast!G13:J13)</f>
        <v>5581</v>
      </c>
      <c r="E12" s="9" t="n">
        <f aca="false">SUM(Forecast!K13:N13)</f>
        <v>5548.28</v>
      </c>
      <c r="F12" s="9" t="n">
        <f aca="false">SUM(Forecast!O13:R13)</f>
        <v>5381.8316</v>
      </c>
    </row>
    <row r="13" customFormat="false" ht="15" hidden="false" customHeight="false" outlineLevel="0" collapsed="false">
      <c r="A13" s="3" t="s">
        <v>110</v>
      </c>
      <c r="B13" s="17" t="s">
        <v>105</v>
      </c>
      <c r="C13" s="20" t="n">
        <f aca="false">SUM(Forecast!C14:F14)</f>
        <v>38768</v>
      </c>
      <c r="D13" s="20" t="n">
        <f aca="false">SUM(Forecast!G14:J14)</f>
        <v>43948</v>
      </c>
      <c r="E13" s="20" t="n">
        <f aca="false">SUM(Forecast!K14:N14)</f>
        <v>42477.24</v>
      </c>
      <c r="F13" s="20" t="n">
        <f aca="false">SUM(Forecast!O14:R14)</f>
        <v>41860.231</v>
      </c>
    </row>
    <row r="14" customFormat="false" ht="15" hidden="false" customHeight="false" outlineLevel="0" collapsed="false">
      <c r="A14" s="7"/>
    </row>
    <row r="15" customFormat="false" ht="15" hidden="false" customHeight="false" outlineLevel="0" collapsed="false">
      <c r="A15" s="7" t="s">
        <v>112</v>
      </c>
      <c r="B15" s="17" t="s">
        <v>105</v>
      </c>
      <c r="C15" s="9" t="n">
        <f aca="false">SUM(Forecast!C17:F17)</f>
        <v>9527</v>
      </c>
      <c r="D15" s="9" t="n">
        <f aca="false">SUM(Forecast!G17:J17)</f>
        <v>11670</v>
      </c>
      <c r="E15" s="9" t="n">
        <f aca="false">SUM(Forecast!K17:N17)</f>
        <v>10055.6304</v>
      </c>
      <c r="F15" s="9" t="n">
        <f aca="false">SUM(Forecast!O17:R17)</f>
        <v>9484.383844</v>
      </c>
    </row>
    <row r="16" customFormat="false" ht="15" hidden="false" customHeight="false" outlineLevel="0" collapsed="false">
      <c r="A16" s="7" t="s">
        <v>113</v>
      </c>
      <c r="B16" s="17" t="s">
        <v>105</v>
      </c>
      <c r="C16" s="9" t="n">
        <f aca="false">SUM(Forecast!C18:F18)</f>
        <v>4027</v>
      </c>
      <c r="D16" s="9" t="n">
        <f aca="false">SUM(Forecast!G18:J18)</f>
        <v>4044</v>
      </c>
      <c r="E16" s="9" t="n">
        <f aca="false">SUM(Forecast!K18:N18)</f>
        <v>4013.396</v>
      </c>
      <c r="F16" s="9" t="n">
        <f aca="false">SUM(Forecast!O18:R18)</f>
        <v>3767.28212</v>
      </c>
    </row>
    <row r="17" customFormat="false" ht="15" hidden="false" customHeight="false" outlineLevel="0" collapsed="false">
      <c r="A17" s="3" t="s">
        <v>114</v>
      </c>
      <c r="B17" s="17" t="s">
        <v>105</v>
      </c>
      <c r="C17" s="20" t="n">
        <f aca="false">SUM(Forecast!C19:F19)</f>
        <v>13554</v>
      </c>
      <c r="D17" s="20" t="n">
        <f aca="false">SUM(Forecast!G19:J19)</f>
        <v>15714</v>
      </c>
      <c r="E17" s="20" t="n">
        <f aca="false">SUM(Forecast!K19:N19)</f>
        <v>14069.0264</v>
      </c>
      <c r="F17" s="20" t="n">
        <f aca="false">SUM(Forecast!O19:R19)</f>
        <v>13251.665964</v>
      </c>
    </row>
    <row r="19" customFormat="false" ht="15" hidden="false" customHeight="false" outlineLevel="0" collapsed="false">
      <c r="A19" s="5" t="s">
        <v>187</v>
      </c>
      <c r="B19" s="6"/>
      <c r="C19" s="6"/>
      <c r="D19" s="6"/>
      <c r="E19" s="6"/>
      <c r="F19" s="6"/>
    </row>
    <row r="20" customFormat="false" ht="15" hidden="false" customHeight="false" outlineLevel="0" collapsed="false">
      <c r="A20" s="7" t="s">
        <v>188</v>
      </c>
      <c r="B20" s="17" t="s">
        <v>116</v>
      </c>
      <c r="C20" s="17" t="s">
        <v>118</v>
      </c>
      <c r="D20" s="33" t="n">
        <f aca="false">IF(C8=0,0,D8/C8-1)</f>
        <v>0.11785053495294</v>
      </c>
      <c r="E20" s="33" t="n">
        <f aca="false">IF(D8=0,0,E8/D8-1)</f>
        <v>-0.135883347725964</v>
      </c>
      <c r="F20" s="33" t="n">
        <f aca="false">IF(E8=0,0,F8/E8-1)</f>
        <v>-0.12</v>
      </c>
    </row>
    <row r="21" customFormat="false" ht="15" hidden="false" customHeight="false" outlineLevel="0" collapsed="false">
      <c r="A21" s="7" t="s">
        <v>189</v>
      </c>
      <c r="B21" s="17" t="s">
        <v>116</v>
      </c>
      <c r="C21" s="17" t="s">
        <v>118</v>
      </c>
      <c r="D21" s="33" t="n">
        <f aca="false">IF(C9=0,0,D9/C9-1)</f>
        <v>0.359326691858468</v>
      </c>
      <c r="E21" s="33" t="n">
        <f aca="false">IF(D9=0,0,E9/D9-1)</f>
        <v>0.440434672731868</v>
      </c>
      <c r="F21" s="33" t="n">
        <f aca="false">IF(E9=0,0,F9/E9-1)</f>
        <v>0.3</v>
      </c>
    </row>
    <row r="22" customFormat="false" ht="15" hidden="false" customHeight="false" outlineLevel="0" collapsed="false">
      <c r="A22" s="7" t="s">
        <v>190</v>
      </c>
      <c r="B22" s="17" t="s">
        <v>116</v>
      </c>
      <c r="C22" s="17" t="s">
        <v>118</v>
      </c>
      <c r="D22" s="33" t="n">
        <f aca="false">IF(C10=0,0,D10/C10-1)</f>
        <v>0.220357735570717</v>
      </c>
      <c r="E22" s="33" t="n">
        <f aca="false">IF(D10=0,0,E10/D10-1)</f>
        <v>0.0900015110305228</v>
      </c>
      <c r="F22" s="33" t="n">
        <f aca="false">IF(E10=0,0,F10/E10-1)</f>
        <v>0.1</v>
      </c>
    </row>
    <row r="23" customFormat="false" ht="15" hidden="false" customHeight="false" outlineLevel="0" collapsed="false">
      <c r="A23" s="7" t="s">
        <v>191</v>
      </c>
      <c r="B23" s="17" t="s">
        <v>116</v>
      </c>
      <c r="C23" s="17" t="s">
        <v>118</v>
      </c>
      <c r="D23" s="33" t="n">
        <f aca="false">IF(C11=0,0,D11/C11-1)</f>
        <v>0.155771779732498</v>
      </c>
      <c r="E23" s="33" t="n">
        <f aca="false">IF(D11=0,0,E11/D11-1)</f>
        <v>-0.0374811687126958</v>
      </c>
      <c r="F23" s="33" t="n">
        <f aca="false">IF(E11=0,0,F11/E11-1)</f>
        <v>-0.0122007389322634</v>
      </c>
    </row>
    <row r="24" customFormat="false" ht="15" hidden="false" customHeight="false" outlineLevel="0" collapsed="false">
      <c r="A24" s="7" t="s">
        <v>192</v>
      </c>
      <c r="B24" s="17" t="s">
        <v>116</v>
      </c>
      <c r="C24" s="17" t="s">
        <v>118</v>
      </c>
      <c r="D24" s="33" t="n">
        <f aca="false">IF(C12=0,0,D12/C12-1)</f>
        <v>0.00161521895190231</v>
      </c>
      <c r="E24" s="33" t="n">
        <f aca="false">IF(D12=0,0,E12/D12-1)</f>
        <v>-0.00586274861136005</v>
      </c>
      <c r="F24" s="33" t="n">
        <f aca="false">IF(E12=0,0,F12/E12-1)</f>
        <v>-0.03</v>
      </c>
    </row>
    <row r="25" customFormat="false" ht="15" hidden="false" customHeight="false" outlineLevel="0" collapsed="false">
      <c r="A25" s="7" t="s">
        <v>193</v>
      </c>
      <c r="B25" s="17" t="s">
        <v>116</v>
      </c>
      <c r="C25" s="17" t="s">
        <v>118</v>
      </c>
      <c r="D25" s="33" t="n">
        <f aca="false">IF(C13=0,0,D13/C13-1)</f>
        <v>0.133615352868345</v>
      </c>
      <c r="E25" s="33" t="n">
        <f aca="false">IF(D13=0,0,E13/D13-1)</f>
        <v>-0.0334659142623101</v>
      </c>
      <c r="F25" s="33" t="n">
        <f aca="false">IF(E13=0,0,F13/E13-1)</f>
        <v>-0.0145256377297583</v>
      </c>
    </row>
    <row r="26" customFormat="false" ht="15" hidden="false" customHeight="false" outlineLevel="0" collapsed="false">
      <c r="A26" s="7" t="s">
        <v>58</v>
      </c>
      <c r="B26" s="17" t="s">
        <v>116</v>
      </c>
      <c r="C26" s="33" t="n">
        <f aca="false">IF(C11=0,0,C15/C11)</f>
        <v>0.286992408723943</v>
      </c>
      <c r="D26" s="33" t="n">
        <f aca="false">IF(D11=0,0,D15/D11)</f>
        <v>0.304167644069122</v>
      </c>
      <c r="E26" s="33" t="n">
        <f aca="false">IF(E11=0,0,E15/E11)</f>
        <v>0.272296604074417</v>
      </c>
      <c r="F26" s="33" t="n">
        <f aca="false">IF(F11=0,0,F15/F11)</f>
        <v>0.26</v>
      </c>
    </row>
    <row r="27" customFormat="false" ht="15" hidden="false" customHeight="false" outlineLevel="0" collapsed="false">
      <c r="A27" s="7" t="s">
        <v>61</v>
      </c>
      <c r="B27" s="17" t="s">
        <v>116</v>
      </c>
      <c r="C27" s="33" t="n">
        <f aca="false">IF(C12=0,0,C16/C12)</f>
        <v>0.722720746590093</v>
      </c>
      <c r="D27" s="33" t="n">
        <f aca="false">IF(D12=0,0,D16/D12)</f>
        <v>0.724601325927253</v>
      </c>
      <c r="E27" s="33" t="n">
        <f aca="false">IF(E12=0,0,E16/E12)</f>
        <v>0.723358590410001</v>
      </c>
      <c r="F27" s="33" t="n">
        <f aca="false">IF(F12=0,0,F16/F12)</f>
        <v>0.7</v>
      </c>
    </row>
    <row r="29" customFormat="false" ht="15" hidden="false" customHeight="false" outlineLevel="0" collapsed="false">
      <c r="A29" s="5" t="s">
        <v>194</v>
      </c>
      <c r="B29" s="6"/>
      <c r="C29" s="6"/>
      <c r="D29" s="6"/>
      <c r="E29" s="6"/>
      <c r="F29" s="6"/>
    </row>
    <row r="30" customFormat="false" ht="15" hidden="false" customHeight="false" outlineLevel="0" collapsed="false">
      <c r="A30" s="7" t="s">
        <v>195</v>
      </c>
      <c r="B30" s="17" t="s">
        <v>105</v>
      </c>
      <c r="C30" s="17" t="s">
        <v>118</v>
      </c>
      <c r="D30" s="34" t="n">
        <f aca="false">D8-C8</f>
        <v>2930</v>
      </c>
      <c r="E30" s="34" t="n">
        <f aca="false">E8-D8</f>
        <v>-3776.47</v>
      </c>
      <c r="F30" s="34" t="n">
        <f aca="false">F8-E8</f>
        <v>-2881.8636</v>
      </c>
    </row>
    <row r="31" customFormat="false" ht="15" hidden="false" customHeight="false" outlineLevel="0" collapsed="false">
      <c r="A31" s="7" t="s">
        <v>196</v>
      </c>
      <c r="B31" s="17" t="s">
        <v>105</v>
      </c>
      <c r="C31" s="17" t="s">
        <v>118</v>
      </c>
      <c r="D31" s="34" t="n">
        <f aca="false">(D9+D10)-(C9+C10)</f>
        <v>2241</v>
      </c>
      <c r="E31" s="34" t="n">
        <f aca="false">(E9+E10)-(D9+D10)</f>
        <v>2338.43</v>
      </c>
      <c r="F31" s="34" t="n">
        <f aca="false">(F9+F10)-(E9+E10)</f>
        <v>2431.303</v>
      </c>
    </row>
    <row r="32" customFormat="false" ht="15" hidden="false" customHeight="false" outlineLevel="0" collapsed="false">
      <c r="A32" s="7" t="s">
        <v>197</v>
      </c>
      <c r="B32" s="17" t="s">
        <v>105</v>
      </c>
      <c r="C32" s="17" t="s">
        <v>118</v>
      </c>
      <c r="D32" s="34" t="n">
        <f aca="false">D12-C12</f>
        <v>9</v>
      </c>
      <c r="E32" s="34" t="n">
        <f aca="false">E12-D12</f>
        <v>-32.7200000000003</v>
      </c>
      <c r="F32" s="34" t="n">
        <f aca="false">F12-E12</f>
        <v>-166.4484</v>
      </c>
    </row>
    <row r="33" customFormat="false" ht="15" hidden="false" customHeight="false" outlineLevel="0" collapsed="false">
      <c r="A33" s="3" t="s">
        <v>198</v>
      </c>
      <c r="B33" s="17" t="s">
        <v>105</v>
      </c>
      <c r="C33" s="17" t="s">
        <v>118</v>
      </c>
      <c r="D33" s="35" t="n">
        <f aca="false">SUM(D30:D32)</f>
        <v>5180</v>
      </c>
      <c r="E33" s="35" t="n">
        <f aca="false">SUM(E30:E32)</f>
        <v>-1470.76</v>
      </c>
      <c r="F33" s="35" t="n">
        <f aca="false">SUM(F30:F32)</f>
        <v>-617.009000000001</v>
      </c>
    </row>
    <row r="34" customFormat="false" ht="15" hidden="false" customHeight="false" outlineLevel="0" collapsed="false">
      <c r="A34" s="7" t="s">
        <v>199</v>
      </c>
      <c r="B34" s="17" t="s">
        <v>200</v>
      </c>
      <c r="C34" s="17" t="s">
        <v>118</v>
      </c>
      <c r="D34" s="36" t="str">
        <f aca="false">IF(D30&gt;=0,"No decline",D31/-D30)</f>
        <v>No decline</v>
      </c>
      <c r="E34" s="36" t="n">
        <f aca="false">IF(E30&gt;=0,"No decline",E31/-E30)</f>
        <v>0.61921053258731</v>
      </c>
      <c r="F34" s="36" t="n">
        <f aca="false">IF(F30&gt;=0,"No decline",F31/-F30)</f>
        <v>0.843656514485973</v>
      </c>
    </row>
    <row r="35" customFormat="false" ht="15" hidden="false" customHeight="false" outlineLevel="0" collapsed="false">
      <c r="A35" s="7" t="s">
        <v>201</v>
      </c>
      <c r="B35" s="17" t="s">
        <v>116</v>
      </c>
      <c r="C35" s="33" t="n">
        <f aca="false">IF(C11=0,0,(C9+C10)/C11)</f>
        <v>0.251054343896855</v>
      </c>
      <c r="D35" s="33" t="n">
        <f aca="false">IF(D11=0,0,(D9+D10)/D11)</f>
        <v>0.275627492376261</v>
      </c>
      <c r="E35" s="33" t="n">
        <f aca="false">IF(E11=0,0,(E9+E10)/E11)</f>
        <v>0.349683013006594</v>
      </c>
      <c r="F35" s="33" t="n">
        <f aca="false">IF(F11=0,0,(F9+F10)/F11)</f>
        <v>0.420652584882877</v>
      </c>
    </row>
    <row r="36" customFormat="false" ht="15" hidden="false" customHeight="false" outlineLevel="0" collapsed="false">
      <c r="A36" s="3" t="s">
        <v>202</v>
      </c>
      <c r="C36" s="17" t="s">
        <v>118</v>
      </c>
      <c r="D36" s="24" t="str">
        <f aca="false">IF(D30&gt;=0,"Handsets grew",IF(D31&gt;=-D30,"Offset","Not offset"))</f>
        <v>Handsets grew</v>
      </c>
      <c r="E36" s="24" t="str">
        <f aca="false">IF(E30&gt;=0,"Handsets grew",IF(E31&gt;=-E30,"Offset","Not offset"))</f>
        <v>Not offset</v>
      </c>
      <c r="F36" s="24" t="str">
        <f aca="false">IF(F30&gt;=0,"Handsets grew",IF(F31&gt;=-F30,"Offset","Not offset"))</f>
        <v>Not offset</v>
      </c>
    </row>
    <row r="38" customFormat="false" ht="15" hidden="false" customHeight="false" outlineLevel="0" collapsed="false">
      <c r="A38" s="2" t="s">
        <v>203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5" min="3" style="0" width="13"/>
  </cols>
  <sheetData>
    <row r="1" customFormat="false" ht="17.35" hidden="false" customHeight="false" outlineLevel="0" collapsed="false">
      <c r="A1" s="1" t="s">
        <v>204</v>
      </c>
    </row>
    <row r="2" customFormat="false" ht="15" hidden="false" customHeight="false" outlineLevel="0" collapsed="false">
      <c r="A2" s="2" t="s">
        <v>205</v>
      </c>
    </row>
    <row r="4" customFormat="false" ht="15" hidden="false" customHeight="false" outlineLevel="0" collapsed="false">
      <c r="A4" s="15" t="s">
        <v>66</v>
      </c>
      <c r="B4" s="16" t="s">
        <v>67</v>
      </c>
      <c r="C4" s="16" t="s">
        <v>39</v>
      </c>
      <c r="D4" s="16" t="s">
        <v>40</v>
      </c>
      <c r="E4" s="16" t="s">
        <v>41</v>
      </c>
    </row>
    <row r="5" customFormat="false" ht="15" hidden="false" customHeight="false" outlineLevel="0" collapsed="false">
      <c r="A5" s="5" t="s">
        <v>206</v>
      </c>
      <c r="B5" s="6"/>
      <c r="C5" s="6"/>
      <c r="D5" s="6"/>
      <c r="E5" s="6"/>
    </row>
    <row r="6" customFormat="false" ht="15" hidden="false" customHeight="false" outlineLevel="0" collapsed="false">
      <c r="A6" s="7" t="s">
        <v>104</v>
      </c>
      <c r="B6" s="17" t="s">
        <v>105</v>
      </c>
      <c r="C6" s="9" t="n">
        <f aca="false">SUM(Forecast!K9:M9)+Forecast!J9*(1+Assumptions!$C$8)</f>
        <v>24015.53</v>
      </c>
      <c r="D6" s="9" t="n">
        <f aca="false">SUM(Forecast!K9:M9)+Forecast!J9*(1+Assumptions!$D$8)</f>
        <v>24363.58</v>
      </c>
      <c r="E6" s="9" t="n">
        <f aca="false">SUM(Forecast!K9:M9)+Forecast!J9*(1+Assumptions!$E$8)</f>
        <v>23667.48</v>
      </c>
    </row>
    <row r="7" customFormat="false" ht="15" hidden="false" customHeight="false" outlineLevel="0" collapsed="false">
      <c r="A7" s="7" t="s">
        <v>106</v>
      </c>
      <c r="B7" s="17" t="s">
        <v>105</v>
      </c>
      <c r="C7" s="9" t="n">
        <f aca="false">SUM(Forecast!K10:M10)+Forecast!J10*(1+Assumptions!$C$10)</f>
        <v>5699.8</v>
      </c>
      <c r="D7" s="9" t="n">
        <f aca="false">SUM(Forecast!K10:M10)+Forecast!J10*(1+Assumptions!$D$10)</f>
        <v>5752.45</v>
      </c>
      <c r="E7" s="9" t="n">
        <f aca="false">SUM(Forecast!K10:M10)+Forecast!J10*(1+Assumptions!$E$10)</f>
        <v>5594.5</v>
      </c>
    </row>
    <row r="8" customFormat="false" ht="15" hidden="false" customHeight="false" outlineLevel="0" collapsed="false">
      <c r="A8" s="7" t="s">
        <v>107</v>
      </c>
      <c r="B8" s="17" t="s">
        <v>105</v>
      </c>
      <c r="C8" s="9" t="n">
        <f aca="false">SUM(Forecast!K11:M11)+Forecast!J11*(1+Assumptions!$C$12)</f>
        <v>7213.63</v>
      </c>
      <c r="D8" s="9" t="n">
        <f aca="false">SUM(Forecast!K11:M11)+Forecast!J11*(1+Assumptions!$D$12)</f>
        <v>7267.84</v>
      </c>
      <c r="E8" s="9" t="n">
        <f aca="false">SUM(Forecast!K11:M11)+Forecast!J11*(1+Assumptions!$E$12)</f>
        <v>7141.35</v>
      </c>
    </row>
    <row r="9" customFormat="false" ht="15" hidden="false" customHeight="false" outlineLevel="0" collapsed="false">
      <c r="A9" s="7" t="s">
        <v>109</v>
      </c>
      <c r="B9" s="17" t="s">
        <v>105</v>
      </c>
      <c r="C9" s="9" t="n">
        <f aca="false">SUM(Forecast!K13:M13)+Forecast!J13*(1+Assumptions!$C$14)</f>
        <v>5548.28</v>
      </c>
      <c r="D9" s="9" t="n">
        <f aca="false">SUM(Forecast!K13:M13)+Forecast!J13*(1+Assumptions!$D$14)</f>
        <v>5646.91</v>
      </c>
      <c r="E9" s="9" t="n">
        <f aca="false">SUM(Forecast!K13:M13)+Forecast!J13*(1+Assumptions!$E$14)</f>
        <v>5463.74</v>
      </c>
    </row>
    <row r="10" customFormat="false" ht="15" hidden="false" customHeight="false" outlineLevel="0" collapsed="false">
      <c r="A10" s="3" t="s">
        <v>110</v>
      </c>
      <c r="B10" s="17" t="s">
        <v>105</v>
      </c>
      <c r="C10" s="20" t="n">
        <f aca="false">SUM(C6:C9)</f>
        <v>42477.24</v>
      </c>
      <c r="D10" s="20" t="n">
        <f aca="false">SUM(D6:D9)</f>
        <v>43030.78</v>
      </c>
      <c r="E10" s="20" t="n">
        <f aca="false">SUM(E6:E9)</f>
        <v>41867.07</v>
      </c>
    </row>
    <row r="12" customFormat="false" ht="15" hidden="false" customHeight="false" outlineLevel="0" collapsed="false">
      <c r="A12" s="5" t="s">
        <v>207</v>
      </c>
      <c r="B12" s="6"/>
      <c r="C12" s="6"/>
      <c r="D12" s="6"/>
      <c r="E12" s="6"/>
    </row>
    <row r="13" customFormat="false" ht="15" hidden="false" customHeight="false" outlineLevel="0" collapsed="false">
      <c r="A13" s="7" t="s">
        <v>104</v>
      </c>
      <c r="B13" s="17" t="s">
        <v>105</v>
      </c>
      <c r="C13" s="9" t="n">
        <f aca="false">(SUM(Forecast!K9:M9)+Forecast!J9*(1+Assumptions!$C$8))*(1+Assumptions!$C$9)</f>
        <v>21133.6664</v>
      </c>
      <c r="D13" s="9" t="n">
        <f aca="false">(SUM(Forecast!K9:M9)+Forecast!J9*(1+Assumptions!$D$8))*(1+Assumptions!$D$9)</f>
        <v>23145.401</v>
      </c>
      <c r="E13" s="9" t="n">
        <f aca="false">(SUM(Forecast!K9:M9)+Forecast!J9*(1+Assumptions!$E$8))*(1+Assumptions!$E$9)</f>
        <v>18933.984</v>
      </c>
    </row>
    <row r="14" customFormat="false" ht="15" hidden="false" customHeight="false" outlineLevel="0" collapsed="false">
      <c r="A14" s="7" t="s">
        <v>106</v>
      </c>
      <c r="B14" s="17" t="s">
        <v>105</v>
      </c>
      <c r="C14" s="9" t="n">
        <f aca="false">(SUM(Forecast!K10:M10)+Forecast!J10*(1+Assumptions!$C$10))*(1+Assumptions!$C$11)</f>
        <v>7409.74</v>
      </c>
      <c r="D14" s="9" t="n">
        <f aca="false">(SUM(Forecast!K10:M10)+Forecast!J10*(1+Assumptions!$D$10))*(1+Assumptions!$D$11)</f>
        <v>8053.43</v>
      </c>
      <c r="E14" s="9" t="n">
        <f aca="false">(SUM(Forecast!K10:M10)+Forecast!J10*(1+Assumptions!$E$10))*(1+Assumptions!$E$11)</f>
        <v>6713.4</v>
      </c>
    </row>
    <row r="15" customFormat="false" ht="15" hidden="false" customHeight="false" outlineLevel="0" collapsed="false">
      <c r="A15" s="7" t="s">
        <v>107</v>
      </c>
      <c r="B15" s="17" t="s">
        <v>105</v>
      </c>
      <c r="C15" s="9" t="n">
        <f aca="false">(SUM(Forecast!K11:M11)+Forecast!J11*(1+Assumptions!$C$12))*(1+Assumptions!$C$13)</f>
        <v>7934.993</v>
      </c>
      <c r="D15" s="9" t="n">
        <f aca="false">(SUM(Forecast!K11:M11)+Forecast!J11*(1+Assumptions!$D$12))*(1+Assumptions!$D$13)</f>
        <v>8358.016</v>
      </c>
      <c r="E15" s="9" t="n">
        <f aca="false">(SUM(Forecast!K11:M11)+Forecast!J11*(1+Assumptions!$E$12))*(1+Assumptions!$E$13)</f>
        <v>7498.4175</v>
      </c>
    </row>
    <row r="16" customFormat="false" ht="15" hidden="false" customHeight="false" outlineLevel="0" collapsed="false">
      <c r="A16" s="7" t="s">
        <v>109</v>
      </c>
      <c r="B16" s="17" t="s">
        <v>105</v>
      </c>
      <c r="C16" s="9" t="n">
        <f aca="false">(SUM(Forecast!K13:M13)+Forecast!J13*(1+Assumptions!$C$14))*(1+Assumptions!$C$15)</f>
        <v>5381.8316</v>
      </c>
      <c r="D16" s="9" t="n">
        <f aca="false">(SUM(Forecast!K13:M13)+Forecast!J13*(1+Assumptions!$D$14))*(1+Assumptions!$D$15)</f>
        <v>5703.3791</v>
      </c>
      <c r="E16" s="9" t="n">
        <f aca="false">(SUM(Forecast!K13:M13)+Forecast!J13*(1+Assumptions!$E$14))*(1+Assumptions!$E$15)</f>
        <v>5081.2782</v>
      </c>
    </row>
    <row r="17" customFormat="false" ht="15" hidden="false" customHeight="false" outlineLevel="0" collapsed="false">
      <c r="A17" s="3" t="s">
        <v>110</v>
      </c>
      <c r="B17" s="17" t="s">
        <v>105</v>
      </c>
      <c r="C17" s="20" t="n">
        <f aca="false">SUM(C13:C16)</f>
        <v>41860.231</v>
      </c>
      <c r="D17" s="20" t="n">
        <f aca="false">SUM(D13:D16)</f>
        <v>45260.2261</v>
      </c>
      <c r="E17" s="20" t="n">
        <f aca="false">SUM(E13:E16)</f>
        <v>38227.0797</v>
      </c>
    </row>
    <row r="19" customFormat="false" ht="15" hidden="false" customHeight="false" outlineLevel="0" collapsed="false">
      <c r="A19" s="5" t="s">
        <v>208</v>
      </c>
      <c r="B19" s="6"/>
      <c r="C19" s="6"/>
      <c r="D19" s="6"/>
      <c r="E19" s="6"/>
    </row>
    <row r="20" customFormat="false" ht="15" hidden="false" customHeight="false" outlineLevel="0" collapsed="false">
      <c r="A20" s="7" t="s">
        <v>119</v>
      </c>
      <c r="B20" s="17" t="s">
        <v>105</v>
      </c>
      <c r="C20" s="34" t="n">
        <f aca="false">C13+C14+C15</f>
        <v>36478.3994</v>
      </c>
      <c r="D20" s="34" t="n">
        <f aca="false">D13+D14+D15</f>
        <v>39556.847</v>
      </c>
      <c r="E20" s="34" t="n">
        <f aca="false">E13+E14+E15</f>
        <v>33145.8015</v>
      </c>
    </row>
    <row r="21" customFormat="false" ht="15" hidden="false" customHeight="false" outlineLevel="0" collapsed="false">
      <c r="A21" s="7" t="s">
        <v>112</v>
      </c>
      <c r="B21" s="17" t="s">
        <v>105</v>
      </c>
      <c r="C21" s="34" t="n">
        <f aca="false">C20*Assumptions!$C$17</f>
        <v>9484.383844</v>
      </c>
      <c r="D21" s="34" t="n">
        <f aca="false">D20*Assumptions!$D$17</f>
        <v>11471.48563</v>
      </c>
      <c r="E21" s="34" t="n">
        <f aca="false">E20*Assumptions!$E$17</f>
        <v>7623.534345</v>
      </c>
    </row>
    <row r="22" customFormat="false" ht="15" hidden="false" customHeight="false" outlineLevel="0" collapsed="false">
      <c r="A22" s="7" t="s">
        <v>113</v>
      </c>
      <c r="B22" s="17" t="s">
        <v>105</v>
      </c>
      <c r="C22" s="34" t="n">
        <f aca="false">C16*Assumptions!$C$19</f>
        <v>3767.28212</v>
      </c>
      <c r="D22" s="34" t="n">
        <f aca="false">D16*Assumptions!$D$19</f>
        <v>4163.466743</v>
      </c>
      <c r="E22" s="34" t="n">
        <f aca="false">E16*Assumptions!$E$19</f>
        <v>3404.456394</v>
      </c>
    </row>
    <row r="23" customFormat="false" ht="15" hidden="false" customHeight="false" outlineLevel="0" collapsed="false">
      <c r="A23" s="3" t="s">
        <v>114</v>
      </c>
      <c r="B23" s="17" t="s">
        <v>105</v>
      </c>
      <c r="C23" s="25" t="n">
        <f aca="false">C21+C22</f>
        <v>13251.665964</v>
      </c>
      <c r="D23" s="25" t="n">
        <f aca="false">D21+D22</f>
        <v>15634.952373</v>
      </c>
      <c r="E23" s="25" t="n">
        <f aca="false">E21+E22</f>
        <v>11027.990739</v>
      </c>
    </row>
    <row r="24" customFormat="false" ht="15" hidden="false" customHeight="false" outlineLevel="0" collapsed="false">
      <c r="A24" s="3" t="s">
        <v>209</v>
      </c>
      <c r="B24" s="17" t="s">
        <v>116</v>
      </c>
      <c r="C24" s="19" t="n">
        <f aca="false">IF(C10=0,0,C17/C10-1)</f>
        <v>-0.0145256377297583</v>
      </c>
      <c r="D24" s="19" t="n">
        <f aca="false">IF(D10=0,0,D17/D10-1)</f>
        <v>0.0518104970442088</v>
      </c>
      <c r="E24" s="19" t="n">
        <f aca="false">IF(E10=0,0,E17/E10-1)</f>
        <v>-0.0869416058969496</v>
      </c>
    </row>
    <row r="25" customFormat="false" ht="15" hidden="false" customHeight="false" outlineLevel="0" collapsed="false">
      <c r="A25" s="7" t="s">
        <v>210</v>
      </c>
      <c r="B25" s="17" t="s">
        <v>116</v>
      </c>
      <c r="C25" s="33" t="n">
        <f aca="false">IF(C20=0,0,(C14+C15)/C20)</f>
        <v>0.420652584882877</v>
      </c>
      <c r="D25" s="33" t="n">
        <f aca="false">IF(D20=0,0,(D14+D15)/D20)</f>
        <v>0.414882561292107</v>
      </c>
      <c r="E25" s="33" t="n">
        <f aca="false">IF(E20=0,0,(E14+E15)/E20)</f>
        <v>0.428766747426518</v>
      </c>
    </row>
    <row r="26" customFormat="false" ht="15" hidden="false" customHeight="false" outlineLevel="0" collapsed="false">
      <c r="A26" s="7" t="s">
        <v>211</v>
      </c>
      <c r="B26" s="17" t="s">
        <v>105</v>
      </c>
      <c r="C26" s="34" t="n">
        <f aca="false">C13-C6</f>
        <v>-2881.8636</v>
      </c>
      <c r="D26" s="34" t="n">
        <f aca="false">D13-D6</f>
        <v>-1218.179</v>
      </c>
      <c r="E26" s="34" t="n">
        <f aca="false">E13-E6</f>
        <v>-4733.496</v>
      </c>
    </row>
    <row r="27" customFormat="false" ht="15" hidden="false" customHeight="false" outlineLevel="0" collapsed="false">
      <c r="A27" s="7" t="s">
        <v>212</v>
      </c>
      <c r="B27" s="17" t="s">
        <v>105</v>
      </c>
      <c r="C27" s="34" t="n">
        <f aca="false">(C14+C15)-(C7+C8)</f>
        <v>2431.303</v>
      </c>
      <c r="D27" s="34" t="n">
        <f aca="false">(D14+D15)-(D7+D8)</f>
        <v>3391.156</v>
      </c>
      <c r="E27" s="34" t="n">
        <f aca="false">(E14+E15)-(E7+E8)</f>
        <v>1475.9675</v>
      </c>
    </row>
    <row r="28" customFormat="false" ht="15" hidden="false" customHeight="false" outlineLevel="0" collapsed="false">
      <c r="A28" s="3" t="s">
        <v>202</v>
      </c>
      <c r="B28" s="17"/>
      <c r="C28" s="24" t="str">
        <f aca="false">IF(C26&gt;=0,"Handsets grew",IF(C27&gt;=-C26,"Offset","Not offset"))</f>
        <v>Not offset</v>
      </c>
      <c r="D28" s="24" t="str">
        <f aca="false">IF(D26&gt;=0,"Handsets grew",IF(D27&gt;=-D26,"Offset","Not offset"))</f>
        <v>Offset</v>
      </c>
      <c r="E28" s="24" t="str">
        <f aca="false">IF(E26&gt;=0,"Handsets grew",IF(E27&gt;=-E26,"Offset","Not offset"))</f>
        <v>Not offset</v>
      </c>
    </row>
    <row r="30" customFormat="false" ht="15" hidden="false" customHeight="false" outlineLevel="0" collapsed="false">
      <c r="A30" s="2" t="s">
        <v>213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7" min="3" style="0" width="13"/>
  </cols>
  <sheetData>
    <row r="1" customFormat="false" ht="17.35" hidden="false" customHeight="false" outlineLevel="0" collapsed="false">
      <c r="A1" s="1" t="s">
        <v>214</v>
      </c>
    </row>
    <row r="2" customFormat="false" ht="15" hidden="false" customHeight="false" outlineLevel="0" collapsed="false">
      <c r="A2" s="2" t="s">
        <v>215</v>
      </c>
    </row>
    <row r="4" customFormat="false" ht="15" hidden="false" customHeight="false" outlineLevel="0" collapsed="false">
      <c r="A4" s="3" t="s">
        <v>216</v>
      </c>
    </row>
    <row r="5" customFormat="false" ht="15" hidden="false" customHeight="false" outlineLevel="0" collapsed="false">
      <c r="A5" s="7" t="s">
        <v>104</v>
      </c>
      <c r="B5" s="10" t="n">
        <f aca="false">Summary!E8</f>
        <v>24015.53</v>
      </c>
    </row>
    <row r="6" customFormat="false" ht="15" hidden="false" customHeight="false" outlineLevel="0" collapsed="false">
      <c r="A6" s="7" t="s">
        <v>106</v>
      </c>
      <c r="B6" s="10" t="n">
        <f aca="false">Summary!E9</f>
        <v>5699.8</v>
      </c>
    </row>
    <row r="7" customFormat="false" ht="15" hidden="false" customHeight="false" outlineLevel="0" collapsed="false">
      <c r="A7" s="7" t="s">
        <v>107</v>
      </c>
      <c r="B7" s="10" t="n">
        <f aca="false">Summary!E10</f>
        <v>7213.63</v>
      </c>
    </row>
    <row r="8" customFormat="false" ht="15" hidden="false" customHeight="false" outlineLevel="0" collapsed="false">
      <c r="A8" s="7" t="s">
        <v>109</v>
      </c>
      <c r="B8" s="10" t="n">
        <f aca="false">Summary!E12</f>
        <v>5548.28</v>
      </c>
    </row>
    <row r="9" customFormat="false" ht="15" hidden="false" customHeight="false" outlineLevel="0" collapsed="false">
      <c r="A9" s="7" t="s">
        <v>217</v>
      </c>
      <c r="B9" s="37" t="n">
        <f aca="false">Assumptions!$F$13</f>
        <v>0.1</v>
      </c>
    </row>
    <row r="10" customFormat="false" ht="15" hidden="false" customHeight="false" outlineLevel="0" collapsed="false">
      <c r="A10" s="7" t="s">
        <v>218</v>
      </c>
      <c r="B10" s="37" t="n">
        <f aca="false">Assumptions!$F$15</f>
        <v>-0.03</v>
      </c>
    </row>
    <row r="12" customFormat="false" ht="15" hidden="false" customHeight="false" outlineLevel="0" collapsed="false">
      <c r="A12" s="15" t="s">
        <v>219</v>
      </c>
      <c r="B12" s="38"/>
      <c r="C12" s="39" t="n">
        <v>0.1</v>
      </c>
      <c r="D12" s="39" t="n">
        <v>0.2</v>
      </c>
      <c r="E12" s="39" t="n">
        <v>0.3</v>
      </c>
      <c r="F12" s="39" t="n">
        <v>0.4</v>
      </c>
      <c r="G12" s="39" t="n">
        <v>0.5</v>
      </c>
    </row>
    <row r="13" customFormat="false" ht="15" hidden="false" customHeight="false" outlineLevel="0" collapsed="false">
      <c r="B13" s="39" t="n">
        <v>-0.25</v>
      </c>
      <c r="C13" s="34" t="n">
        <f aca="false">$B$5*(1+$B13)+$B$6*(1+C$12)+$B$7*(1+$B$9)+$B$8*(1+$B$10)</f>
        <v>37598.2521</v>
      </c>
      <c r="D13" s="34" t="n">
        <f aca="false">$B$5*(1+$B13)+$B$6*(1+D$12)+$B$7*(1+$B$9)+$B$8*(1+$B$10)</f>
        <v>38168.2321</v>
      </c>
      <c r="E13" s="34" t="n">
        <f aca="false">$B$5*(1+$B13)+$B$6*(1+E$12)+$B$7*(1+$B$9)+$B$8*(1+$B$10)</f>
        <v>38738.2121</v>
      </c>
      <c r="F13" s="34" t="n">
        <f aca="false">$B$5*(1+$B13)+$B$6*(1+F$12)+$B$7*(1+$B$9)+$B$8*(1+$B$10)</f>
        <v>39308.1921</v>
      </c>
      <c r="G13" s="34" t="n">
        <f aca="false">$B$5*(1+$B13)+$B$6*(1+G$12)+$B$7*(1+$B$9)+$B$8*(1+$B$10)</f>
        <v>39878.1721</v>
      </c>
    </row>
    <row r="14" customFormat="false" ht="15" hidden="false" customHeight="false" outlineLevel="0" collapsed="false">
      <c r="B14" s="39" t="n">
        <v>-0.2</v>
      </c>
      <c r="C14" s="34" t="n">
        <f aca="false">$B$5*(1+$B14)+$B$6*(1+C$12)+$B$7*(1+$B$9)+$B$8*(1+$B$10)</f>
        <v>38799.0286</v>
      </c>
      <c r="D14" s="34" t="n">
        <f aca="false">$B$5*(1+$B14)+$B$6*(1+D$12)+$B$7*(1+$B$9)+$B$8*(1+$B$10)</f>
        <v>39369.0086</v>
      </c>
      <c r="E14" s="34" t="n">
        <f aca="false">$B$5*(1+$B14)+$B$6*(1+E$12)+$B$7*(1+$B$9)+$B$8*(1+$B$10)</f>
        <v>39938.9886</v>
      </c>
      <c r="F14" s="34" t="n">
        <f aca="false">$B$5*(1+$B14)+$B$6*(1+F$12)+$B$7*(1+$B$9)+$B$8*(1+$B$10)</f>
        <v>40508.9686</v>
      </c>
      <c r="G14" s="34" t="n">
        <f aca="false">$B$5*(1+$B14)+$B$6*(1+G$12)+$B$7*(1+$B$9)+$B$8*(1+$B$10)</f>
        <v>41078.9486</v>
      </c>
    </row>
    <row r="15" customFormat="false" ht="15" hidden="false" customHeight="false" outlineLevel="0" collapsed="false">
      <c r="B15" s="39" t="n">
        <v>-0.15</v>
      </c>
      <c r="C15" s="34" t="n">
        <f aca="false">$B$5*(1+$B15)+$B$6*(1+C$12)+$B$7*(1+$B$9)+$B$8*(1+$B$10)</f>
        <v>39999.8051</v>
      </c>
      <c r="D15" s="34" t="n">
        <f aca="false">$B$5*(1+$B15)+$B$6*(1+D$12)+$B$7*(1+$B$9)+$B$8*(1+$B$10)</f>
        <v>40569.7851</v>
      </c>
      <c r="E15" s="34" t="n">
        <f aca="false">$B$5*(1+$B15)+$B$6*(1+E$12)+$B$7*(1+$B$9)+$B$8*(1+$B$10)</f>
        <v>41139.7651</v>
      </c>
      <c r="F15" s="34" t="n">
        <f aca="false">$B$5*(1+$B15)+$B$6*(1+F$12)+$B$7*(1+$B$9)+$B$8*(1+$B$10)</f>
        <v>41709.7451</v>
      </c>
      <c r="G15" s="34" t="n">
        <f aca="false">$B$5*(1+$B15)+$B$6*(1+G$12)+$B$7*(1+$B$9)+$B$8*(1+$B$10)</f>
        <v>42279.7251</v>
      </c>
    </row>
    <row r="16" customFormat="false" ht="15" hidden="false" customHeight="false" outlineLevel="0" collapsed="false">
      <c r="B16" s="39" t="n">
        <v>-0.1</v>
      </c>
      <c r="C16" s="34" t="n">
        <f aca="false">$B$5*(1+$B16)+$B$6*(1+C$12)+$B$7*(1+$B$9)+$B$8*(1+$B$10)</f>
        <v>41200.5816</v>
      </c>
      <c r="D16" s="34" t="n">
        <f aca="false">$B$5*(1+$B16)+$B$6*(1+D$12)+$B$7*(1+$B$9)+$B$8*(1+$B$10)</f>
        <v>41770.5616</v>
      </c>
      <c r="E16" s="34" t="n">
        <f aca="false">$B$5*(1+$B16)+$B$6*(1+E$12)+$B$7*(1+$B$9)+$B$8*(1+$B$10)</f>
        <v>42340.5416</v>
      </c>
      <c r="F16" s="34" t="n">
        <f aca="false">$B$5*(1+$B16)+$B$6*(1+F$12)+$B$7*(1+$B$9)+$B$8*(1+$B$10)</f>
        <v>42910.5216</v>
      </c>
      <c r="G16" s="34" t="n">
        <f aca="false">$B$5*(1+$B16)+$B$6*(1+G$12)+$B$7*(1+$B$9)+$B$8*(1+$B$10)</f>
        <v>43480.5016</v>
      </c>
    </row>
    <row r="17" customFormat="false" ht="15" hidden="false" customHeight="false" outlineLevel="0" collapsed="false">
      <c r="B17" s="39" t="n">
        <v>-0.05</v>
      </c>
      <c r="C17" s="34" t="n">
        <f aca="false">$B$5*(1+$B17)+$B$6*(1+C$12)+$B$7*(1+$B$9)+$B$8*(1+$B$10)</f>
        <v>42401.3581</v>
      </c>
      <c r="D17" s="34" t="n">
        <f aca="false">$B$5*(1+$B17)+$B$6*(1+D$12)+$B$7*(1+$B$9)+$B$8*(1+$B$10)</f>
        <v>42971.3381</v>
      </c>
      <c r="E17" s="34" t="n">
        <f aca="false">$B$5*(1+$B17)+$B$6*(1+E$12)+$B$7*(1+$B$9)+$B$8*(1+$B$10)</f>
        <v>43541.3181</v>
      </c>
      <c r="F17" s="34" t="n">
        <f aca="false">$B$5*(1+$B17)+$B$6*(1+F$12)+$B$7*(1+$B$9)+$B$8*(1+$B$10)</f>
        <v>44111.2981</v>
      </c>
      <c r="G17" s="34" t="n">
        <f aca="false">$B$5*(1+$B17)+$B$6*(1+G$12)+$B$7*(1+$B$9)+$B$8*(1+$B$10)</f>
        <v>44681.2781</v>
      </c>
    </row>
    <row r="18" customFormat="false" ht="15" hidden="false" customHeight="false" outlineLevel="0" collapsed="false">
      <c r="B18" s="39" t="n">
        <v>0</v>
      </c>
      <c r="C18" s="34" t="n">
        <f aca="false">$B$5*(1+$B18)+$B$6*(1+C$12)+$B$7*(1+$B$9)+$B$8*(1+$B$10)</f>
        <v>43602.1346</v>
      </c>
      <c r="D18" s="34" t="n">
        <f aca="false">$B$5*(1+$B18)+$B$6*(1+D$12)+$B$7*(1+$B$9)+$B$8*(1+$B$10)</f>
        <v>44172.1146</v>
      </c>
      <c r="E18" s="34" t="n">
        <f aca="false">$B$5*(1+$B18)+$B$6*(1+E$12)+$B$7*(1+$B$9)+$B$8*(1+$B$10)</f>
        <v>44742.0946</v>
      </c>
      <c r="F18" s="34" t="n">
        <f aca="false">$B$5*(1+$B18)+$B$6*(1+F$12)+$B$7*(1+$B$9)+$B$8*(1+$B$10)</f>
        <v>45312.0746</v>
      </c>
      <c r="G18" s="34" t="n">
        <f aca="false">$B$5*(1+$B18)+$B$6*(1+G$12)+$B$7*(1+$B$9)+$B$8*(1+$B$10)</f>
        <v>45882.0546</v>
      </c>
    </row>
    <row r="19" customFormat="false" ht="15" hidden="false" customHeight="false" outlineLevel="0" collapsed="false">
      <c r="B19" s="39" t="n">
        <v>0.05</v>
      </c>
      <c r="C19" s="34" t="n">
        <f aca="false">$B$5*(1+$B19)+$B$6*(1+C$12)+$B$7*(1+$B$9)+$B$8*(1+$B$10)</f>
        <v>44802.9111</v>
      </c>
      <c r="D19" s="34" t="n">
        <f aca="false">$B$5*(1+$B19)+$B$6*(1+D$12)+$B$7*(1+$B$9)+$B$8*(1+$B$10)</f>
        <v>45372.8911</v>
      </c>
      <c r="E19" s="34" t="n">
        <f aca="false">$B$5*(1+$B19)+$B$6*(1+E$12)+$B$7*(1+$B$9)+$B$8*(1+$B$10)</f>
        <v>45942.8711</v>
      </c>
      <c r="F19" s="34" t="n">
        <f aca="false">$B$5*(1+$B19)+$B$6*(1+F$12)+$B$7*(1+$B$9)+$B$8*(1+$B$10)</f>
        <v>46512.8511</v>
      </c>
      <c r="G19" s="34" t="n">
        <f aca="false">$B$5*(1+$B19)+$B$6*(1+G$12)+$B$7*(1+$B$9)+$B$8*(1+$B$10)</f>
        <v>47082.8311</v>
      </c>
    </row>
    <row r="21" customFormat="false" ht="15" hidden="false" customHeight="false" outlineLevel="0" collapsed="false">
      <c r="A21" s="7" t="s">
        <v>220</v>
      </c>
      <c r="B21" s="10" t="n">
        <f aca="false">Summary!E13</f>
        <v>42477.24</v>
      </c>
    </row>
    <row r="22" customFormat="false" ht="15" hidden="false" customHeight="false" outlineLevel="0" collapsed="false">
      <c r="A22" s="2" t="s">
        <v>221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70"/>
    <col collapsed="false" customWidth="true" hidden="false" outlineLevel="0" max="3" min="3" style="0" width="12"/>
  </cols>
  <sheetData>
    <row r="1" customFormat="false" ht="17.35" hidden="false" customHeight="false" outlineLevel="0" collapsed="false">
      <c r="A1" s="1" t="s">
        <v>222</v>
      </c>
    </row>
    <row r="2" customFormat="false" ht="15" hidden="false" customHeight="false" outlineLevel="0" collapsed="false">
      <c r="A2" s="2" t="s">
        <v>223</v>
      </c>
    </row>
    <row r="4" customFormat="false" ht="15" hidden="false" customHeight="false" outlineLevel="0" collapsed="false">
      <c r="A4" s="3" t="s">
        <v>224</v>
      </c>
      <c r="C4" s="24" t="str">
        <f aca="false">IF(COUNTIF(C7:C13,"OK")=7,"ALL OK","CHECK ERRORS")</f>
        <v>ALL OK</v>
      </c>
    </row>
    <row r="6" customFormat="false" ht="15" hidden="false" customHeight="false" outlineLevel="0" collapsed="false">
      <c r="A6" s="15" t="s">
        <v>225</v>
      </c>
      <c r="B6" s="15" t="s">
        <v>226</v>
      </c>
      <c r="C6" s="16" t="s">
        <v>227</v>
      </c>
    </row>
    <row r="7" customFormat="false" ht="15" hidden="false" customHeight="false" outlineLevel="0" collapsed="false">
      <c r="A7" s="17" t="n">
        <v>1</v>
      </c>
      <c r="B7" s="7" t="s">
        <v>228</v>
      </c>
      <c r="C7" s="24" t="str">
        <f aca="false">IF(SUMPRODUCT(ABS(Actuals!C9:M9+Actuals!C10:M10+Actuals!C11:M11-Actuals!C12:M12))&lt;1,"OK","ERROR")</f>
        <v>OK</v>
      </c>
    </row>
    <row r="8" customFormat="false" ht="15" hidden="false" customHeight="false" outlineLevel="0" collapsed="false">
      <c r="A8" s="17" t="n">
        <v>2</v>
      </c>
      <c r="B8" s="7" t="s">
        <v>229</v>
      </c>
      <c r="C8" s="24" t="str">
        <f aca="false">IF(SUMPRODUCT(ABS(Guidance!D11:N11-(Guidance!D9:N9+Guidance!D10:N10)/2))+SUMPRODUCT(ABS(Guidance!D16:N16-(Guidance!D14:N14+Guidance!D15:N15)/2))+SUMPRODUCT(ABS(Guidance!D21:N21-(Guidance!D19:N19+Guidance!D20:N20)/2))&lt;1,"OK","ERROR")</f>
        <v>OK</v>
      </c>
    </row>
    <row r="9" customFormat="false" ht="15" hidden="false" customHeight="false" outlineLevel="0" collapsed="false">
      <c r="A9" s="17" t="n">
        <v>3</v>
      </c>
      <c r="B9" s="7" t="s">
        <v>230</v>
      </c>
      <c r="C9" s="24" t="str">
        <f aca="false">IF(SUMPRODUCT(--(Guidance!D9:N9&gt;Guidance!D10:N10))+SUMPRODUCT(--(Guidance!D14:N14&gt;Guidance!D15:N15))+SUMPRODUCT(--(Guidance!D19:N19&gt;Guidance!D20:N20))=0,"OK","ERROR")</f>
        <v>OK</v>
      </c>
    </row>
    <row r="10" customFormat="false" ht="15" hidden="false" customHeight="false" outlineLevel="0" collapsed="false">
      <c r="A10" s="17" t="n">
        <v>4</v>
      </c>
      <c r="B10" s="7" t="s">
        <v>231</v>
      </c>
      <c r="C10" s="24" t="str">
        <f aca="false">IF(OR(Assumptions!B5=1,Assumptions!B5=2,Assumptions!B5=3),"OK","ERROR")</f>
        <v>OK</v>
      </c>
    </row>
    <row r="11" customFormat="false" ht="15" hidden="false" customHeight="false" outlineLevel="0" collapsed="false">
      <c r="A11" s="17" t="n">
        <v>5</v>
      </c>
      <c r="B11" s="7" t="s">
        <v>232</v>
      </c>
      <c r="C11" s="24" t="str">
        <f aca="false">IF(ABS(SUM(Summary!C13:F13)-SUM(Forecast!C14:R14))&lt;1,"OK","ERROR")</f>
        <v>OK</v>
      </c>
    </row>
    <row r="12" customFormat="false" ht="15" hidden="false" customHeight="false" outlineLevel="0" collapsed="false">
      <c r="A12" s="17" t="n">
        <v>6</v>
      </c>
      <c r="B12" s="7" t="s">
        <v>233</v>
      </c>
      <c r="C12" s="24" t="str">
        <f aca="false">IF(ABS(INDEX(Scenarios!C17:E17,Assumptions!B5)-Summary!F13)&lt;1,"OK","ERROR")</f>
        <v>OK</v>
      </c>
    </row>
    <row r="13" customFormat="false" ht="15" hidden="false" customHeight="false" outlineLevel="0" collapsed="false">
      <c r="A13" s="17" t="n">
        <v>7</v>
      </c>
      <c r="B13" s="7" t="s">
        <v>234</v>
      </c>
      <c r="C13" s="24" t="str">
        <f aca="false">IF(ABS(SUM(Forecast!N12:R12)-SUM(Forecast!N9:R11))&lt;1,"OK","ERROR")</f>
        <v>OK</v>
      </c>
    </row>
    <row r="15" customFormat="false" ht="15" hidden="false" customHeight="false" outlineLevel="0" collapsed="false">
      <c r="A15" s="5" t="s">
        <v>235</v>
      </c>
      <c r="B15" s="6"/>
      <c r="C15" s="6"/>
    </row>
    <row r="16" customFormat="false" ht="15" hidden="false" customHeight="false" outlineLevel="0" collapsed="false">
      <c r="B16" s="7" t="s">
        <v>236</v>
      </c>
      <c r="C16" s="24" t="str">
        <f aca="false">IF(Forecast!N12&gt;Guidance!N15,"Above",IF(Forecast!N12&lt;Guidance!N14,"Below","Within"))</f>
        <v>Within</v>
      </c>
    </row>
    <row r="17" customFormat="false" ht="15" hidden="false" customHeight="false" outlineLevel="0" collapsed="false">
      <c r="B17" s="7" t="s">
        <v>237</v>
      </c>
      <c r="C17" s="24" t="str">
        <f aca="false">IF(Forecast!N13&gt;Guidance!N20,"Above",IF(Forecast!N13&lt;Guidance!N19,"Below","Within"))</f>
        <v>Within</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0" min="1" style="0" width="15"/>
  </cols>
  <sheetData>
    <row r="1" customFormat="false" ht="15" hidden="false" customHeight="false" outlineLevel="0" collapsed="false">
      <c r="A1" s="15" t="s">
        <v>238</v>
      </c>
      <c r="B1" s="15" t="s">
        <v>239</v>
      </c>
      <c r="C1" s="15" t="s">
        <v>240</v>
      </c>
      <c r="D1" s="15" t="s">
        <v>241</v>
      </c>
      <c r="E1" s="15" t="s">
        <v>242</v>
      </c>
      <c r="F1" s="15" t="s">
        <v>243</v>
      </c>
      <c r="G1" s="15" t="s">
        <v>244</v>
      </c>
      <c r="H1" s="15" t="s">
        <v>245</v>
      </c>
      <c r="I1" s="15" t="s">
        <v>246</v>
      </c>
      <c r="J1" s="15" t="s">
        <v>247</v>
      </c>
    </row>
    <row r="2" customFormat="false" ht="15" hidden="false" customHeight="false" outlineLevel="0" collapsed="false">
      <c r="A2" s="7" t="s">
        <v>68</v>
      </c>
      <c r="B2" s="7" t="n">
        <v>2024</v>
      </c>
      <c r="C2" s="7" t="n">
        <v>1</v>
      </c>
      <c r="D2" s="40" t="n">
        <v>2024.1</v>
      </c>
      <c r="E2" s="4" t="str">
        <f aca="false">Forecast!C5</f>
        <v>Actual</v>
      </c>
      <c r="F2" s="4" t="str">
        <f aca="false">IF(E2="Actual","Reported",Assumptions!$C$5)</f>
        <v>Reported</v>
      </c>
      <c r="G2" s="7" t="s">
        <v>153</v>
      </c>
      <c r="H2" s="7" t="s">
        <v>104</v>
      </c>
      <c r="I2" s="10" t="n">
        <f aca="false">Forecast!C9</f>
        <v>6687</v>
      </c>
      <c r="J2" s="9"/>
    </row>
    <row r="3" customFormat="false" ht="15" hidden="false" customHeight="false" outlineLevel="0" collapsed="false">
      <c r="A3" s="7" t="s">
        <v>68</v>
      </c>
      <c r="B3" s="7" t="n">
        <v>2024</v>
      </c>
      <c r="C3" s="7" t="n">
        <v>1</v>
      </c>
      <c r="D3" s="40" t="n">
        <v>2024.1</v>
      </c>
      <c r="E3" s="4" t="str">
        <f aca="false">Forecast!C5</f>
        <v>Actual</v>
      </c>
      <c r="F3" s="4" t="str">
        <f aca="false">IF(E3="Actual","Reported",Assumptions!$C$5)</f>
        <v>Reported</v>
      </c>
      <c r="G3" s="7" t="s">
        <v>153</v>
      </c>
      <c r="H3" s="7" t="s">
        <v>106</v>
      </c>
      <c r="I3" s="10" t="n">
        <f aca="false">Forecast!C10</f>
        <v>598</v>
      </c>
      <c r="J3" s="9"/>
    </row>
    <row r="4" customFormat="false" ht="15" hidden="false" customHeight="false" outlineLevel="0" collapsed="false">
      <c r="A4" s="7" t="s">
        <v>68</v>
      </c>
      <c r="B4" s="7" t="n">
        <v>2024</v>
      </c>
      <c r="C4" s="7" t="n">
        <v>1</v>
      </c>
      <c r="D4" s="40" t="n">
        <v>2024.1</v>
      </c>
      <c r="E4" s="4" t="str">
        <f aca="false">Forecast!C5</f>
        <v>Actual</v>
      </c>
      <c r="F4" s="4" t="str">
        <f aca="false">IF(E4="Actual","Reported",Assumptions!$C$5)</f>
        <v>Reported</v>
      </c>
      <c r="G4" s="7" t="s">
        <v>153</v>
      </c>
      <c r="H4" s="7" t="s">
        <v>107</v>
      </c>
      <c r="I4" s="10" t="n">
        <f aca="false">Forecast!C11</f>
        <v>1138</v>
      </c>
      <c r="J4" s="9"/>
    </row>
    <row r="5" customFormat="false" ht="15" hidden="false" customHeight="false" outlineLevel="0" collapsed="false">
      <c r="A5" s="7" t="s">
        <v>68</v>
      </c>
      <c r="B5" s="7" t="n">
        <v>2024</v>
      </c>
      <c r="C5" s="7" t="n">
        <v>1</v>
      </c>
      <c r="D5" s="40" t="n">
        <v>2024.1</v>
      </c>
      <c r="E5" s="4" t="str">
        <f aca="false">Forecast!C5</f>
        <v>Actual</v>
      </c>
      <c r="F5" s="4" t="str">
        <f aca="false">IF(E5="Actual","Reported",Assumptions!$C$5)</f>
        <v>Reported</v>
      </c>
      <c r="G5" s="7" t="s">
        <v>154</v>
      </c>
      <c r="H5" s="7" t="s">
        <v>248</v>
      </c>
      <c r="I5" s="10" t="n">
        <f aca="false">Forecast!C13</f>
        <v>1460</v>
      </c>
      <c r="J5" s="10" t="n">
        <f aca="false">Forecast!C18</f>
        <v>1080</v>
      </c>
    </row>
    <row r="6" customFormat="false" ht="15" hidden="false" customHeight="false" outlineLevel="0" collapsed="false">
      <c r="A6" s="7" t="s">
        <v>69</v>
      </c>
      <c r="B6" s="7" t="n">
        <v>2024</v>
      </c>
      <c r="C6" s="7" t="n">
        <v>2</v>
      </c>
      <c r="D6" s="40" t="n">
        <v>2024.2</v>
      </c>
      <c r="E6" s="4" t="str">
        <f aca="false">Forecast!D5</f>
        <v>Actual</v>
      </c>
      <c r="F6" s="4" t="str">
        <f aca="false">IF(E6="Actual","Reported",Assumptions!$C$5)</f>
        <v>Reported</v>
      </c>
      <c r="G6" s="7" t="s">
        <v>153</v>
      </c>
      <c r="H6" s="7" t="s">
        <v>104</v>
      </c>
      <c r="I6" s="10" t="n">
        <f aca="false">Forecast!D9</f>
        <v>6180</v>
      </c>
      <c r="J6" s="9"/>
    </row>
    <row r="7" customFormat="false" ht="15" hidden="false" customHeight="false" outlineLevel="0" collapsed="false">
      <c r="A7" s="7" t="s">
        <v>69</v>
      </c>
      <c r="B7" s="7" t="n">
        <v>2024</v>
      </c>
      <c r="C7" s="7" t="n">
        <v>2</v>
      </c>
      <c r="D7" s="40" t="n">
        <v>2024.2</v>
      </c>
      <c r="E7" s="4" t="str">
        <f aca="false">Forecast!D5</f>
        <v>Actual</v>
      </c>
      <c r="F7" s="4" t="str">
        <f aca="false">IF(E7="Actual","Reported",Assumptions!$C$5)</f>
        <v>Reported</v>
      </c>
      <c r="G7" s="7" t="s">
        <v>153</v>
      </c>
      <c r="H7" s="7" t="s">
        <v>106</v>
      </c>
      <c r="I7" s="10" t="n">
        <f aca="false">Forecast!D10</f>
        <v>603</v>
      </c>
      <c r="J7" s="9"/>
    </row>
    <row r="8" customFormat="false" ht="15" hidden="false" customHeight="false" outlineLevel="0" collapsed="false">
      <c r="A8" s="7" t="s">
        <v>69</v>
      </c>
      <c r="B8" s="7" t="n">
        <v>2024</v>
      </c>
      <c r="C8" s="7" t="n">
        <v>2</v>
      </c>
      <c r="D8" s="40" t="n">
        <v>2024.2</v>
      </c>
      <c r="E8" s="4" t="str">
        <f aca="false">Forecast!D5</f>
        <v>Actual</v>
      </c>
      <c r="F8" s="4" t="str">
        <f aca="false">IF(E8="Actual","Reported",Assumptions!$C$5)</f>
        <v>Reported</v>
      </c>
      <c r="G8" s="7" t="s">
        <v>153</v>
      </c>
      <c r="H8" s="7" t="s">
        <v>107</v>
      </c>
      <c r="I8" s="10" t="n">
        <f aca="false">Forecast!D11</f>
        <v>1243</v>
      </c>
      <c r="J8" s="9"/>
    </row>
    <row r="9" customFormat="false" ht="15" hidden="false" customHeight="false" outlineLevel="0" collapsed="false">
      <c r="A9" s="7" t="s">
        <v>69</v>
      </c>
      <c r="B9" s="7" t="n">
        <v>2024</v>
      </c>
      <c r="C9" s="7" t="n">
        <v>2</v>
      </c>
      <c r="D9" s="40" t="n">
        <v>2024.2</v>
      </c>
      <c r="E9" s="4" t="str">
        <f aca="false">Forecast!D5</f>
        <v>Actual</v>
      </c>
      <c r="F9" s="4" t="str">
        <f aca="false">IF(E9="Actual","Reported",Assumptions!$C$5)</f>
        <v>Reported</v>
      </c>
      <c r="G9" s="7" t="s">
        <v>154</v>
      </c>
      <c r="H9" s="7" t="s">
        <v>248</v>
      </c>
      <c r="I9" s="10" t="n">
        <f aca="false">Forecast!D13</f>
        <v>1318</v>
      </c>
      <c r="J9" s="10" t="n">
        <f aca="false">Forecast!D18</f>
        <v>933</v>
      </c>
    </row>
    <row r="10" customFormat="false" ht="15" hidden="false" customHeight="false" outlineLevel="0" collapsed="false">
      <c r="A10" s="7" t="s">
        <v>70</v>
      </c>
      <c r="B10" s="7" t="n">
        <v>2024</v>
      </c>
      <c r="C10" s="7" t="n">
        <v>3</v>
      </c>
      <c r="D10" s="40" t="n">
        <v>2024.3</v>
      </c>
      <c r="E10" s="4" t="str">
        <f aca="false">Forecast!E5</f>
        <v>Actual</v>
      </c>
      <c r="F10" s="4" t="str">
        <f aca="false">IF(E10="Actual","Reported",Assumptions!$C$5)</f>
        <v>Reported</v>
      </c>
      <c r="G10" s="7" t="s">
        <v>153</v>
      </c>
      <c r="H10" s="7" t="s">
        <v>104</v>
      </c>
      <c r="I10" s="10" t="n">
        <f aca="false">Forecast!E9</f>
        <v>5899</v>
      </c>
      <c r="J10" s="9"/>
    </row>
    <row r="11" customFormat="false" ht="15" hidden="false" customHeight="false" outlineLevel="0" collapsed="false">
      <c r="A11" s="7" t="s">
        <v>70</v>
      </c>
      <c r="B11" s="7" t="n">
        <v>2024</v>
      </c>
      <c r="C11" s="7" t="n">
        <v>3</v>
      </c>
      <c r="D11" s="40" t="n">
        <v>2024.3</v>
      </c>
      <c r="E11" s="4" t="str">
        <f aca="false">Forecast!E5</f>
        <v>Actual</v>
      </c>
      <c r="F11" s="4" t="str">
        <f aca="false">IF(E11="Actual","Reported",Assumptions!$C$5)</f>
        <v>Reported</v>
      </c>
      <c r="G11" s="7" t="s">
        <v>153</v>
      </c>
      <c r="H11" s="7" t="s">
        <v>106</v>
      </c>
      <c r="I11" s="10" t="n">
        <f aca="false">Forecast!E10</f>
        <v>811</v>
      </c>
      <c r="J11" s="9"/>
    </row>
    <row r="12" customFormat="false" ht="15" hidden="false" customHeight="false" outlineLevel="0" collapsed="false">
      <c r="A12" s="7" t="s">
        <v>70</v>
      </c>
      <c r="B12" s="7" t="n">
        <v>2024</v>
      </c>
      <c r="C12" s="7" t="n">
        <v>3</v>
      </c>
      <c r="D12" s="40" t="n">
        <v>2024.3</v>
      </c>
      <c r="E12" s="4" t="str">
        <f aca="false">Forecast!E5</f>
        <v>Actual</v>
      </c>
      <c r="F12" s="4" t="str">
        <f aca="false">IF(E12="Actual","Reported",Assumptions!$C$5)</f>
        <v>Reported</v>
      </c>
      <c r="G12" s="7" t="s">
        <v>153</v>
      </c>
      <c r="H12" s="7" t="s">
        <v>107</v>
      </c>
      <c r="I12" s="10" t="n">
        <f aca="false">Forecast!E11</f>
        <v>1359</v>
      </c>
      <c r="J12" s="9"/>
    </row>
    <row r="13" customFormat="false" ht="15" hidden="false" customHeight="false" outlineLevel="0" collapsed="false">
      <c r="A13" s="7" t="s">
        <v>70</v>
      </c>
      <c r="B13" s="7" t="n">
        <v>2024</v>
      </c>
      <c r="C13" s="7" t="n">
        <v>3</v>
      </c>
      <c r="D13" s="40" t="n">
        <v>2024.3</v>
      </c>
      <c r="E13" s="4" t="str">
        <f aca="false">Forecast!E5</f>
        <v>Actual</v>
      </c>
      <c r="F13" s="4" t="str">
        <f aca="false">IF(E13="Actual","Reported",Assumptions!$C$5)</f>
        <v>Reported</v>
      </c>
      <c r="G13" s="7" t="s">
        <v>154</v>
      </c>
      <c r="H13" s="7" t="s">
        <v>248</v>
      </c>
      <c r="I13" s="10" t="n">
        <f aca="false">Forecast!E13</f>
        <v>1273</v>
      </c>
      <c r="J13" s="10" t="n">
        <f aca="false">Forecast!E18</f>
        <v>894</v>
      </c>
    </row>
    <row r="14" customFormat="false" ht="15" hidden="false" customHeight="false" outlineLevel="0" collapsed="false">
      <c r="A14" s="7" t="s">
        <v>71</v>
      </c>
      <c r="B14" s="7" t="n">
        <v>2024</v>
      </c>
      <c r="C14" s="7" t="n">
        <v>4</v>
      </c>
      <c r="D14" s="40" t="n">
        <v>2024.4</v>
      </c>
      <c r="E14" s="4" t="str">
        <f aca="false">Forecast!F5</f>
        <v>Actual</v>
      </c>
      <c r="F14" s="4" t="str">
        <f aca="false">IF(E14="Actual","Reported",Assumptions!$C$5)</f>
        <v>Reported</v>
      </c>
      <c r="G14" s="7" t="s">
        <v>153</v>
      </c>
      <c r="H14" s="7" t="s">
        <v>104</v>
      </c>
      <c r="I14" s="10" t="n">
        <f aca="false">Forecast!F9</f>
        <v>6096</v>
      </c>
      <c r="J14" s="9"/>
    </row>
    <row r="15" customFormat="false" ht="15" hidden="false" customHeight="false" outlineLevel="0" collapsed="false">
      <c r="A15" s="7" t="s">
        <v>71</v>
      </c>
      <c r="B15" s="7" t="n">
        <v>2024</v>
      </c>
      <c r="C15" s="7" t="n">
        <v>4</v>
      </c>
      <c r="D15" s="40" t="n">
        <v>2024.4</v>
      </c>
      <c r="E15" s="4" t="str">
        <f aca="false">Forecast!F5</f>
        <v>Actual</v>
      </c>
      <c r="F15" s="4" t="str">
        <f aca="false">IF(E15="Actual","Reported",Assumptions!$C$5)</f>
        <v>Reported</v>
      </c>
      <c r="G15" s="7" t="s">
        <v>153</v>
      </c>
      <c r="H15" s="7" t="s">
        <v>106</v>
      </c>
      <c r="I15" s="10" t="n">
        <f aca="false">Forecast!F10</f>
        <v>899</v>
      </c>
      <c r="J15" s="9"/>
    </row>
    <row r="16" customFormat="false" ht="15" hidden="false" customHeight="false" outlineLevel="0" collapsed="false">
      <c r="A16" s="7" t="s">
        <v>71</v>
      </c>
      <c r="B16" s="7" t="n">
        <v>2024</v>
      </c>
      <c r="C16" s="7" t="n">
        <v>4</v>
      </c>
      <c r="D16" s="40" t="n">
        <v>2024.4</v>
      </c>
      <c r="E16" s="4" t="str">
        <f aca="false">Forecast!F5</f>
        <v>Actual</v>
      </c>
      <c r="F16" s="4" t="str">
        <f aca="false">IF(E16="Actual","Reported",Assumptions!$C$5)</f>
        <v>Reported</v>
      </c>
      <c r="G16" s="7" t="s">
        <v>153</v>
      </c>
      <c r="H16" s="7" t="s">
        <v>107</v>
      </c>
      <c r="I16" s="10" t="n">
        <f aca="false">Forecast!F11</f>
        <v>1683</v>
      </c>
      <c r="J16" s="9"/>
    </row>
    <row r="17" customFormat="false" ht="15" hidden="false" customHeight="false" outlineLevel="0" collapsed="false">
      <c r="A17" s="7" t="s">
        <v>71</v>
      </c>
      <c r="B17" s="7" t="n">
        <v>2024</v>
      </c>
      <c r="C17" s="7" t="n">
        <v>4</v>
      </c>
      <c r="D17" s="40" t="n">
        <v>2024.4</v>
      </c>
      <c r="E17" s="4" t="str">
        <f aca="false">Forecast!F5</f>
        <v>Actual</v>
      </c>
      <c r="F17" s="4" t="str">
        <f aca="false">IF(E17="Actual","Reported",Assumptions!$C$5)</f>
        <v>Reported</v>
      </c>
      <c r="G17" s="7" t="s">
        <v>154</v>
      </c>
      <c r="H17" s="7" t="s">
        <v>248</v>
      </c>
      <c r="I17" s="10" t="n">
        <f aca="false">Forecast!F13</f>
        <v>1521</v>
      </c>
      <c r="J17" s="10" t="n">
        <f aca="false">Forecast!F18</f>
        <v>1120</v>
      </c>
    </row>
    <row r="18" customFormat="false" ht="15" hidden="false" customHeight="false" outlineLevel="0" collapsed="false">
      <c r="A18" s="7" t="s">
        <v>72</v>
      </c>
      <c r="B18" s="7" t="n">
        <v>2025</v>
      </c>
      <c r="C18" s="7" t="n">
        <v>1</v>
      </c>
      <c r="D18" s="40" t="n">
        <v>2025.1</v>
      </c>
      <c r="E18" s="4" t="str">
        <f aca="false">Forecast!G5</f>
        <v>Actual</v>
      </c>
      <c r="F18" s="4" t="str">
        <f aca="false">IF(E18="Actual","Reported",Assumptions!$C$5)</f>
        <v>Reported</v>
      </c>
      <c r="G18" s="7" t="s">
        <v>153</v>
      </c>
      <c r="H18" s="7" t="s">
        <v>104</v>
      </c>
      <c r="I18" s="10" t="n">
        <f aca="false">Forecast!G9</f>
        <v>7574</v>
      </c>
      <c r="J18" s="9"/>
    </row>
    <row r="19" customFormat="false" ht="15" hidden="false" customHeight="false" outlineLevel="0" collapsed="false">
      <c r="A19" s="7" t="s">
        <v>72</v>
      </c>
      <c r="B19" s="7" t="n">
        <v>2025</v>
      </c>
      <c r="C19" s="7" t="n">
        <v>1</v>
      </c>
      <c r="D19" s="40" t="n">
        <v>2025.1</v>
      </c>
      <c r="E19" s="4" t="str">
        <f aca="false">Forecast!G5</f>
        <v>Actual</v>
      </c>
      <c r="F19" s="4" t="str">
        <f aca="false">IF(E19="Actual","Reported",Assumptions!$C$5)</f>
        <v>Reported</v>
      </c>
      <c r="G19" s="7" t="s">
        <v>153</v>
      </c>
      <c r="H19" s="7" t="s">
        <v>106</v>
      </c>
      <c r="I19" s="10" t="n">
        <f aca="false">Forecast!G10</f>
        <v>961</v>
      </c>
      <c r="J19" s="9"/>
    </row>
    <row r="20" customFormat="false" ht="15" hidden="false" customHeight="false" outlineLevel="0" collapsed="false">
      <c r="A20" s="7" t="s">
        <v>72</v>
      </c>
      <c r="B20" s="7" t="n">
        <v>2025</v>
      </c>
      <c r="C20" s="7" t="n">
        <v>1</v>
      </c>
      <c r="D20" s="40" t="n">
        <v>2025.1</v>
      </c>
      <c r="E20" s="4" t="str">
        <f aca="false">Forecast!G5</f>
        <v>Actual</v>
      </c>
      <c r="F20" s="4" t="str">
        <f aca="false">IF(E20="Actual","Reported",Assumptions!$C$5)</f>
        <v>Reported</v>
      </c>
      <c r="G20" s="7" t="s">
        <v>153</v>
      </c>
      <c r="H20" s="7" t="s">
        <v>107</v>
      </c>
      <c r="I20" s="10" t="n">
        <f aca="false">Forecast!G11</f>
        <v>1549</v>
      </c>
      <c r="J20" s="9"/>
    </row>
    <row r="21" customFormat="false" ht="15" hidden="false" customHeight="false" outlineLevel="0" collapsed="false">
      <c r="A21" s="7" t="s">
        <v>72</v>
      </c>
      <c r="B21" s="7" t="n">
        <v>2025</v>
      </c>
      <c r="C21" s="7" t="n">
        <v>1</v>
      </c>
      <c r="D21" s="40" t="n">
        <v>2025.1</v>
      </c>
      <c r="E21" s="4" t="str">
        <f aca="false">Forecast!G5</f>
        <v>Actual</v>
      </c>
      <c r="F21" s="4" t="str">
        <f aca="false">IF(E21="Actual","Reported",Assumptions!$C$5)</f>
        <v>Reported</v>
      </c>
      <c r="G21" s="7" t="s">
        <v>154</v>
      </c>
      <c r="H21" s="7" t="s">
        <v>248</v>
      </c>
      <c r="I21" s="10" t="n">
        <f aca="false">Forecast!G13</f>
        <v>1535</v>
      </c>
      <c r="J21" s="10" t="n">
        <f aca="false">Forecast!G18</f>
        <v>1158</v>
      </c>
    </row>
    <row r="22" customFormat="false" ht="15" hidden="false" customHeight="false" outlineLevel="0" collapsed="false">
      <c r="A22" s="7" t="s">
        <v>73</v>
      </c>
      <c r="B22" s="7" t="n">
        <v>2025</v>
      </c>
      <c r="C22" s="7" t="n">
        <v>2</v>
      </c>
      <c r="D22" s="40" t="n">
        <v>2025.2</v>
      </c>
      <c r="E22" s="4" t="str">
        <f aca="false">Forecast!H5</f>
        <v>Actual</v>
      </c>
      <c r="F22" s="4" t="str">
        <f aca="false">IF(E22="Actual","Reported",Assumptions!$C$5)</f>
        <v>Reported</v>
      </c>
      <c r="G22" s="7" t="s">
        <v>153</v>
      </c>
      <c r="H22" s="7" t="s">
        <v>104</v>
      </c>
      <c r="I22" s="10" t="n">
        <f aca="false">Forecast!H9</f>
        <v>6929</v>
      </c>
      <c r="J22" s="9"/>
    </row>
    <row r="23" customFormat="false" ht="15" hidden="false" customHeight="false" outlineLevel="0" collapsed="false">
      <c r="A23" s="7" t="s">
        <v>73</v>
      </c>
      <c r="B23" s="7" t="n">
        <v>2025</v>
      </c>
      <c r="C23" s="7" t="n">
        <v>2</v>
      </c>
      <c r="D23" s="40" t="n">
        <v>2025.2</v>
      </c>
      <c r="E23" s="4" t="str">
        <f aca="false">Forecast!H5</f>
        <v>Actual</v>
      </c>
      <c r="F23" s="4" t="str">
        <f aca="false">IF(E23="Actual","Reported",Assumptions!$C$5)</f>
        <v>Reported</v>
      </c>
      <c r="G23" s="7" t="s">
        <v>153</v>
      </c>
      <c r="H23" s="7" t="s">
        <v>106</v>
      </c>
      <c r="I23" s="10" t="n">
        <f aca="false">Forecast!H10</f>
        <v>959</v>
      </c>
      <c r="J23" s="9"/>
    </row>
    <row r="24" customFormat="false" ht="15" hidden="false" customHeight="false" outlineLevel="0" collapsed="false">
      <c r="A24" s="7" t="s">
        <v>73</v>
      </c>
      <c r="B24" s="7" t="n">
        <v>2025</v>
      </c>
      <c r="C24" s="7" t="n">
        <v>2</v>
      </c>
      <c r="D24" s="40" t="n">
        <v>2025.2</v>
      </c>
      <c r="E24" s="4" t="str">
        <f aca="false">Forecast!H5</f>
        <v>Actual</v>
      </c>
      <c r="F24" s="4" t="str">
        <f aca="false">IF(E24="Actual","Reported",Assumptions!$C$5)</f>
        <v>Reported</v>
      </c>
      <c r="G24" s="7" t="s">
        <v>153</v>
      </c>
      <c r="H24" s="7" t="s">
        <v>107</v>
      </c>
      <c r="I24" s="10" t="n">
        <f aca="false">Forecast!H11</f>
        <v>1581</v>
      </c>
      <c r="J24" s="9"/>
    </row>
    <row r="25" customFormat="false" ht="15" hidden="false" customHeight="false" outlineLevel="0" collapsed="false">
      <c r="A25" s="7" t="s">
        <v>73</v>
      </c>
      <c r="B25" s="7" t="n">
        <v>2025</v>
      </c>
      <c r="C25" s="7" t="n">
        <v>2</v>
      </c>
      <c r="D25" s="40" t="n">
        <v>2025.2</v>
      </c>
      <c r="E25" s="4" t="str">
        <f aca="false">Forecast!H5</f>
        <v>Actual</v>
      </c>
      <c r="F25" s="4" t="str">
        <f aca="false">IF(E25="Actual","Reported",Assumptions!$C$5)</f>
        <v>Reported</v>
      </c>
      <c r="G25" s="7" t="s">
        <v>154</v>
      </c>
      <c r="H25" s="7" t="s">
        <v>248</v>
      </c>
      <c r="I25" s="10" t="n">
        <f aca="false">Forecast!H13</f>
        <v>1319</v>
      </c>
      <c r="J25" s="10" t="n">
        <f aca="false">Forecast!H18</f>
        <v>929</v>
      </c>
    </row>
    <row r="26" customFormat="false" ht="15" hidden="false" customHeight="false" outlineLevel="0" collapsed="false">
      <c r="A26" s="7" t="s">
        <v>74</v>
      </c>
      <c r="B26" s="7" t="n">
        <v>2025</v>
      </c>
      <c r="C26" s="7" t="n">
        <v>3</v>
      </c>
      <c r="D26" s="40" t="n">
        <v>2025.3</v>
      </c>
      <c r="E26" s="4" t="str">
        <f aca="false">Forecast!I5</f>
        <v>Actual</v>
      </c>
      <c r="F26" s="4" t="str">
        <f aca="false">IF(E26="Actual","Reported",Assumptions!$C$5)</f>
        <v>Reported</v>
      </c>
      <c r="G26" s="7" t="s">
        <v>153</v>
      </c>
      <c r="H26" s="7" t="s">
        <v>104</v>
      </c>
      <c r="I26" s="10" t="n">
        <f aca="false">Forecast!I9</f>
        <v>6328</v>
      </c>
      <c r="J26" s="9"/>
    </row>
    <row r="27" customFormat="false" ht="15" hidden="false" customHeight="false" outlineLevel="0" collapsed="false">
      <c r="A27" s="7" t="s">
        <v>74</v>
      </c>
      <c r="B27" s="7" t="n">
        <v>2025</v>
      </c>
      <c r="C27" s="7" t="n">
        <v>3</v>
      </c>
      <c r="D27" s="40" t="n">
        <v>2025.3</v>
      </c>
      <c r="E27" s="4" t="str">
        <f aca="false">Forecast!I5</f>
        <v>Actual</v>
      </c>
      <c r="F27" s="4" t="str">
        <f aca="false">IF(E27="Actual","Reported",Assumptions!$C$5)</f>
        <v>Reported</v>
      </c>
      <c r="G27" s="7" t="s">
        <v>153</v>
      </c>
      <c r="H27" s="7" t="s">
        <v>106</v>
      </c>
      <c r="I27" s="10" t="n">
        <f aca="false">Forecast!I10</f>
        <v>984</v>
      </c>
      <c r="J27" s="9"/>
    </row>
    <row r="28" customFormat="false" ht="15" hidden="false" customHeight="false" outlineLevel="0" collapsed="false">
      <c r="A28" s="7" t="s">
        <v>74</v>
      </c>
      <c r="B28" s="7" t="n">
        <v>2025</v>
      </c>
      <c r="C28" s="7" t="n">
        <v>3</v>
      </c>
      <c r="D28" s="40" t="n">
        <v>2025.3</v>
      </c>
      <c r="E28" s="4" t="str">
        <f aca="false">Forecast!I5</f>
        <v>Actual</v>
      </c>
      <c r="F28" s="4" t="str">
        <f aca="false">IF(E28="Actual","Reported",Assumptions!$C$5)</f>
        <v>Reported</v>
      </c>
      <c r="G28" s="7" t="s">
        <v>153</v>
      </c>
      <c r="H28" s="7" t="s">
        <v>107</v>
      </c>
      <c r="I28" s="10" t="n">
        <f aca="false">Forecast!I11</f>
        <v>1681</v>
      </c>
      <c r="J28" s="9"/>
    </row>
    <row r="29" customFormat="false" ht="15" hidden="false" customHeight="false" outlineLevel="0" collapsed="false">
      <c r="A29" s="7" t="s">
        <v>74</v>
      </c>
      <c r="B29" s="7" t="n">
        <v>2025</v>
      </c>
      <c r="C29" s="7" t="n">
        <v>3</v>
      </c>
      <c r="D29" s="40" t="n">
        <v>2025.3</v>
      </c>
      <c r="E29" s="4" t="str">
        <f aca="false">Forecast!I5</f>
        <v>Actual</v>
      </c>
      <c r="F29" s="4" t="str">
        <f aca="false">IF(E29="Actual","Reported",Assumptions!$C$5)</f>
        <v>Reported</v>
      </c>
      <c r="G29" s="7" t="s">
        <v>154</v>
      </c>
      <c r="H29" s="7" t="s">
        <v>248</v>
      </c>
      <c r="I29" s="10" t="n">
        <f aca="false">Forecast!I13</f>
        <v>1318</v>
      </c>
      <c r="J29" s="10" t="n">
        <f aca="false">Forecast!I18</f>
        <v>942</v>
      </c>
    </row>
    <row r="30" customFormat="false" ht="15" hidden="false" customHeight="false" outlineLevel="0" collapsed="false">
      <c r="A30" s="7" t="s">
        <v>75</v>
      </c>
      <c r="B30" s="7" t="n">
        <v>2025</v>
      </c>
      <c r="C30" s="7" t="n">
        <v>4</v>
      </c>
      <c r="D30" s="40" t="n">
        <v>2025.4</v>
      </c>
      <c r="E30" s="4" t="str">
        <f aca="false">Forecast!J5</f>
        <v>Actual</v>
      </c>
      <c r="F30" s="4" t="str">
        <f aca="false">IF(E30="Actual","Reported",Assumptions!$C$5)</f>
        <v>Reported</v>
      </c>
      <c r="G30" s="7" t="s">
        <v>153</v>
      </c>
      <c r="H30" s="7" t="s">
        <v>104</v>
      </c>
      <c r="I30" s="10" t="n">
        <f aca="false">Forecast!J9</f>
        <v>6961</v>
      </c>
      <c r="J30" s="9"/>
    </row>
    <row r="31" customFormat="false" ht="15" hidden="false" customHeight="false" outlineLevel="0" collapsed="false">
      <c r="A31" s="7" t="s">
        <v>75</v>
      </c>
      <c r="B31" s="7" t="n">
        <v>2025</v>
      </c>
      <c r="C31" s="7" t="n">
        <v>4</v>
      </c>
      <c r="D31" s="40" t="n">
        <v>2025.4</v>
      </c>
      <c r="E31" s="4" t="str">
        <f aca="false">Forecast!J5</f>
        <v>Actual</v>
      </c>
      <c r="F31" s="4" t="str">
        <f aca="false">IF(E31="Actual","Reported",Assumptions!$C$5)</f>
        <v>Reported</v>
      </c>
      <c r="G31" s="7" t="s">
        <v>153</v>
      </c>
      <c r="H31" s="7" t="s">
        <v>106</v>
      </c>
      <c r="I31" s="10" t="n">
        <f aca="false">Forecast!J10</f>
        <v>1053</v>
      </c>
      <c r="J31" s="9"/>
    </row>
    <row r="32" customFormat="false" ht="15" hidden="false" customHeight="false" outlineLevel="0" collapsed="false">
      <c r="A32" s="7" t="s">
        <v>75</v>
      </c>
      <c r="B32" s="7" t="n">
        <v>2025</v>
      </c>
      <c r="C32" s="7" t="n">
        <v>4</v>
      </c>
      <c r="D32" s="40" t="n">
        <v>2025.4</v>
      </c>
      <c r="E32" s="4" t="str">
        <f aca="false">Forecast!J5</f>
        <v>Actual</v>
      </c>
      <c r="F32" s="4" t="str">
        <f aca="false">IF(E32="Actual","Reported",Assumptions!$C$5)</f>
        <v>Reported</v>
      </c>
      <c r="G32" s="7" t="s">
        <v>153</v>
      </c>
      <c r="H32" s="7" t="s">
        <v>107</v>
      </c>
      <c r="I32" s="10" t="n">
        <f aca="false">Forecast!J11</f>
        <v>1807</v>
      </c>
      <c r="J32" s="9"/>
    </row>
    <row r="33" customFormat="false" ht="15" hidden="false" customHeight="false" outlineLevel="0" collapsed="false">
      <c r="A33" s="7" t="s">
        <v>75</v>
      </c>
      <c r="B33" s="7" t="n">
        <v>2025</v>
      </c>
      <c r="C33" s="7" t="n">
        <v>4</v>
      </c>
      <c r="D33" s="40" t="n">
        <v>2025.4</v>
      </c>
      <c r="E33" s="4" t="str">
        <f aca="false">Forecast!J5</f>
        <v>Actual</v>
      </c>
      <c r="F33" s="4" t="str">
        <f aca="false">IF(E33="Actual","Reported",Assumptions!$C$5)</f>
        <v>Reported</v>
      </c>
      <c r="G33" s="7" t="s">
        <v>154</v>
      </c>
      <c r="H33" s="7" t="s">
        <v>248</v>
      </c>
      <c r="I33" s="10" t="n">
        <f aca="false">Forecast!J13</f>
        <v>1409</v>
      </c>
      <c r="J33" s="10" t="n">
        <f aca="false">Forecast!J18</f>
        <v>1015</v>
      </c>
    </row>
    <row r="34" customFormat="false" ht="15" hidden="false" customHeight="false" outlineLevel="0" collapsed="false">
      <c r="A34" s="7" t="s">
        <v>76</v>
      </c>
      <c r="B34" s="7" t="n">
        <v>2026</v>
      </c>
      <c r="C34" s="7" t="n">
        <v>1</v>
      </c>
      <c r="D34" s="40" t="n">
        <v>2026.1</v>
      </c>
      <c r="E34" s="4" t="str">
        <f aca="false">Forecast!K5</f>
        <v>Actual</v>
      </c>
      <c r="F34" s="4" t="str">
        <f aca="false">IF(E34="Actual","Reported",Assumptions!$C$5)</f>
        <v>Reported</v>
      </c>
      <c r="G34" s="7" t="s">
        <v>153</v>
      </c>
      <c r="H34" s="7" t="s">
        <v>104</v>
      </c>
      <c r="I34" s="10" t="n">
        <f aca="false">Forecast!K9</f>
        <v>7824</v>
      </c>
      <c r="J34" s="9"/>
    </row>
    <row r="35" customFormat="false" ht="15" hidden="false" customHeight="false" outlineLevel="0" collapsed="false">
      <c r="A35" s="7" t="s">
        <v>76</v>
      </c>
      <c r="B35" s="7" t="n">
        <v>2026</v>
      </c>
      <c r="C35" s="7" t="n">
        <v>1</v>
      </c>
      <c r="D35" s="40" t="n">
        <v>2026.1</v>
      </c>
      <c r="E35" s="4" t="str">
        <f aca="false">Forecast!K5</f>
        <v>Actual</v>
      </c>
      <c r="F35" s="4" t="str">
        <f aca="false">IF(E35="Actual","Reported",Assumptions!$C$5)</f>
        <v>Reported</v>
      </c>
      <c r="G35" s="7" t="s">
        <v>153</v>
      </c>
      <c r="H35" s="7" t="s">
        <v>106</v>
      </c>
      <c r="I35" s="10" t="n">
        <f aca="false">Forecast!K10</f>
        <v>1101</v>
      </c>
      <c r="J35" s="9"/>
    </row>
    <row r="36" customFormat="false" ht="15" hidden="false" customHeight="false" outlineLevel="0" collapsed="false">
      <c r="A36" s="7" t="s">
        <v>76</v>
      </c>
      <c r="B36" s="7" t="n">
        <v>2026</v>
      </c>
      <c r="C36" s="7" t="n">
        <v>1</v>
      </c>
      <c r="D36" s="40" t="n">
        <v>2026.1</v>
      </c>
      <c r="E36" s="4" t="str">
        <f aca="false">Forecast!K5</f>
        <v>Actual</v>
      </c>
      <c r="F36" s="4" t="str">
        <f aca="false">IF(E36="Actual","Reported",Assumptions!$C$5)</f>
        <v>Reported</v>
      </c>
      <c r="G36" s="7" t="s">
        <v>153</v>
      </c>
      <c r="H36" s="7" t="s">
        <v>107</v>
      </c>
      <c r="I36" s="10" t="n">
        <f aca="false">Forecast!K11</f>
        <v>1688</v>
      </c>
      <c r="J36" s="9"/>
    </row>
    <row r="37" customFormat="false" ht="15" hidden="false" customHeight="false" outlineLevel="0" collapsed="false">
      <c r="A37" s="7" t="s">
        <v>76</v>
      </c>
      <c r="B37" s="7" t="n">
        <v>2026</v>
      </c>
      <c r="C37" s="7" t="n">
        <v>1</v>
      </c>
      <c r="D37" s="40" t="n">
        <v>2026.1</v>
      </c>
      <c r="E37" s="4" t="str">
        <f aca="false">Forecast!K5</f>
        <v>Actual</v>
      </c>
      <c r="F37" s="4" t="str">
        <f aca="false">IF(E37="Actual","Reported",Assumptions!$C$5)</f>
        <v>Reported</v>
      </c>
      <c r="G37" s="7" t="s">
        <v>154</v>
      </c>
      <c r="H37" s="7" t="s">
        <v>248</v>
      </c>
      <c r="I37" s="10" t="n">
        <f aca="false">Forecast!K13</f>
        <v>1592</v>
      </c>
      <c r="J37" s="10" t="n">
        <f aca="false">Forecast!K18</f>
        <v>1231</v>
      </c>
    </row>
    <row r="38" customFormat="false" ht="15" hidden="false" customHeight="false" outlineLevel="0" collapsed="false">
      <c r="A38" s="7" t="s">
        <v>77</v>
      </c>
      <c r="B38" s="7" t="n">
        <v>2026</v>
      </c>
      <c r="C38" s="7" t="n">
        <v>2</v>
      </c>
      <c r="D38" s="40" t="n">
        <v>2026.2</v>
      </c>
      <c r="E38" s="4" t="str">
        <f aca="false">Forecast!L5</f>
        <v>Actual</v>
      </c>
      <c r="F38" s="4" t="str">
        <f aca="false">IF(E38="Actual","Reported",Assumptions!$C$5)</f>
        <v>Reported</v>
      </c>
      <c r="G38" s="7" t="s">
        <v>153</v>
      </c>
      <c r="H38" s="7" t="s">
        <v>104</v>
      </c>
      <c r="I38" s="10" t="n">
        <f aca="false">Forecast!L9</f>
        <v>6024</v>
      </c>
      <c r="J38" s="9"/>
    </row>
    <row r="39" customFormat="false" ht="15" hidden="false" customHeight="false" outlineLevel="0" collapsed="false">
      <c r="A39" s="7" t="s">
        <v>77</v>
      </c>
      <c r="B39" s="7" t="n">
        <v>2026</v>
      </c>
      <c r="C39" s="7" t="n">
        <v>2</v>
      </c>
      <c r="D39" s="40" t="n">
        <v>2026.2</v>
      </c>
      <c r="E39" s="4" t="str">
        <f aca="false">Forecast!L5</f>
        <v>Actual</v>
      </c>
      <c r="F39" s="4" t="str">
        <f aca="false">IF(E39="Actual","Reported",Assumptions!$C$5)</f>
        <v>Reported</v>
      </c>
      <c r="G39" s="7" t="s">
        <v>153</v>
      </c>
      <c r="H39" s="7" t="s">
        <v>106</v>
      </c>
      <c r="I39" s="10" t="n">
        <f aca="false">Forecast!L10</f>
        <v>1326</v>
      </c>
      <c r="J39" s="9"/>
    </row>
    <row r="40" customFormat="false" ht="15" hidden="false" customHeight="false" outlineLevel="0" collapsed="false">
      <c r="A40" s="7" t="s">
        <v>77</v>
      </c>
      <c r="B40" s="7" t="n">
        <v>2026</v>
      </c>
      <c r="C40" s="7" t="n">
        <v>2</v>
      </c>
      <c r="D40" s="40" t="n">
        <v>2026.2</v>
      </c>
      <c r="E40" s="4" t="str">
        <f aca="false">Forecast!L5</f>
        <v>Actual</v>
      </c>
      <c r="F40" s="4" t="str">
        <f aca="false">IF(E40="Actual","Reported",Assumptions!$C$5)</f>
        <v>Reported</v>
      </c>
      <c r="G40" s="7" t="s">
        <v>153</v>
      </c>
      <c r="H40" s="7" t="s">
        <v>107</v>
      </c>
      <c r="I40" s="10" t="n">
        <f aca="false">Forecast!L11</f>
        <v>1726</v>
      </c>
      <c r="J40" s="9"/>
    </row>
    <row r="41" customFormat="false" ht="15" hidden="false" customHeight="false" outlineLevel="0" collapsed="false">
      <c r="A41" s="7" t="s">
        <v>77</v>
      </c>
      <c r="B41" s="7" t="n">
        <v>2026</v>
      </c>
      <c r="C41" s="7" t="n">
        <v>2</v>
      </c>
      <c r="D41" s="40" t="n">
        <v>2026.2</v>
      </c>
      <c r="E41" s="4" t="str">
        <f aca="false">Forecast!L5</f>
        <v>Actual</v>
      </c>
      <c r="F41" s="4" t="str">
        <f aca="false">IF(E41="Actual","Reported",Assumptions!$C$5)</f>
        <v>Reported</v>
      </c>
      <c r="G41" s="7" t="s">
        <v>154</v>
      </c>
      <c r="H41" s="7" t="s">
        <v>248</v>
      </c>
      <c r="I41" s="10" t="n">
        <f aca="false">Forecast!L13</f>
        <v>1382</v>
      </c>
      <c r="J41" s="10" t="n">
        <f aca="false">Forecast!L18</f>
        <v>994</v>
      </c>
    </row>
    <row r="42" customFormat="false" ht="15" hidden="false" customHeight="false" outlineLevel="0" collapsed="false">
      <c r="A42" s="7" t="s">
        <v>78</v>
      </c>
      <c r="B42" s="7" t="n">
        <v>2026</v>
      </c>
      <c r="C42" s="7" t="n">
        <v>3</v>
      </c>
      <c r="D42" s="40" t="n">
        <v>2026.3</v>
      </c>
      <c r="E42" s="4" t="str">
        <f aca="false">Forecast!M5</f>
        <v>Actual</v>
      </c>
      <c r="F42" s="4" t="str">
        <f aca="false">IF(E42="Actual","Reported",Assumptions!$C$5)</f>
        <v>Reported</v>
      </c>
      <c r="G42" s="7" t="s">
        <v>153</v>
      </c>
      <c r="H42" s="7" t="s">
        <v>104</v>
      </c>
      <c r="I42" s="10" t="n">
        <f aca="false">Forecast!M9</f>
        <v>5086</v>
      </c>
      <c r="J42" s="9"/>
    </row>
    <row r="43" customFormat="false" ht="15" hidden="false" customHeight="false" outlineLevel="0" collapsed="false">
      <c r="A43" s="7" t="s">
        <v>78</v>
      </c>
      <c r="B43" s="7" t="n">
        <v>2026</v>
      </c>
      <c r="C43" s="7" t="n">
        <v>3</v>
      </c>
      <c r="D43" s="40" t="n">
        <v>2026.3</v>
      </c>
      <c r="E43" s="4" t="str">
        <f aca="false">Forecast!M5</f>
        <v>Actual</v>
      </c>
      <c r="F43" s="4" t="str">
        <f aca="false">IF(E43="Actual","Reported",Assumptions!$C$5)</f>
        <v>Reported</v>
      </c>
      <c r="G43" s="7" t="s">
        <v>153</v>
      </c>
      <c r="H43" s="7" t="s">
        <v>106</v>
      </c>
      <c r="I43" s="10" t="n">
        <f aca="false">Forecast!M10</f>
        <v>1588</v>
      </c>
      <c r="J43" s="9"/>
    </row>
    <row r="44" customFormat="false" ht="15" hidden="false" customHeight="false" outlineLevel="0" collapsed="false">
      <c r="A44" s="7" t="s">
        <v>78</v>
      </c>
      <c r="B44" s="7" t="n">
        <v>2026</v>
      </c>
      <c r="C44" s="7" t="n">
        <v>3</v>
      </c>
      <c r="D44" s="40" t="n">
        <v>2026.3</v>
      </c>
      <c r="E44" s="4" t="str">
        <f aca="false">Forecast!M5</f>
        <v>Actual</v>
      </c>
      <c r="F44" s="4" t="str">
        <f aca="false">IF(E44="Actual","Reported",Assumptions!$C$5)</f>
        <v>Reported</v>
      </c>
      <c r="G44" s="7" t="s">
        <v>153</v>
      </c>
      <c r="H44" s="7" t="s">
        <v>107</v>
      </c>
      <c r="I44" s="10" t="n">
        <f aca="false">Forecast!M11</f>
        <v>1830</v>
      </c>
      <c r="J44" s="9"/>
    </row>
    <row r="45" customFormat="false" ht="15" hidden="false" customHeight="false" outlineLevel="0" collapsed="false">
      <c r="A45" s="7" t="s">
        <v>78</v>
      </c>
      <c r="B45" s="7" t="n">
        <v>2026</v>
      </c>
      <c r="C45" s="7" t="n">
        <v>3</v>
      </c>
      <c r="D45" s="40" t="n">
        <v>2026.3</v>
      </c>
      <c r="E45" s="4" t="str">
        <f aca="false">Forecast!M5</f>
        <v>Actual</v>
      </c>
      <c r="F45" s="4" t="str">
        <f aca="false">IF(E45="Actual","Reported",Assumptions!$C$5)</f>
        <v>Reported</v>
      </c>
      <c r="G45" s="7" t="s">
        <v>154</v>
      </c>
      <c r="H45" s="7" t="s">
        <v>248</v>
      </c>
      <c r="I45" s="10" t="n">
        <f aca="false">Forecast!M13</f>
        <v>1278</v>
      </c>
      <c r="J45" s="10" t="n">
        <f aca="false">Forecast!M18</f>
        <v>881</v>
      </c>
    </row>
    <row r="46" customFormat="false" ht="15" hidden="false" customHeight="false" outlineLevel="0" collapsed="false">
      <c r="A46" s="7" t="s">
        <v>45</v>
      </c>
      <c r="B46" s="7" t="n">
        <v>2026</v>
      </c>
      <c r="C46" s="7" t="n">
        <v>4</v>
      </c>
      <c r="D46" s="40" t="n">
        <v>2026.4</v>
      </c>
      <c r="E46" s="4" t="str">
        <f aca="false">Forecast!N5</f>
        <v>Forecast</v>
      </c>
      <c r="F46" s="4" t="str">
        <f aca="false">IF(E46="Actual","Reported",Assumptions!$C$5)</f>
        <v>Base</v>
      </c>
      <c r="G46" s="7" t="s">
        <v>153</v>
      </c>
      <c r="H46" s="7" t="s">
        <v>104</v>
      </c>
      <c r="I46" s="10" t="n">
        <f aca="false">Forecast!N9</f>
        <v>5081.53</v>
      </c>
      <c r="J46" s="9"/>
    </row>
    <row r="47" customFormat="false" ht="15" hidden="false" customHeight="false" outlineLevel="0" collapsed="false">
      <c r="A47" s="7" t="s">
        <v>45</v>
      </c>
      <c r="B47" s="7" t="n">
        <v>2026</v>
      </c>
      <c r="C47" s="7" t="n">
        <v>4</v>
      </c>
      <c r="D47" s="40" t="n">
        <v>2026.4</v>
      </c>
      <c r="E47" s="4" t="str">
        <f aca="false">Forecast!N5</f>
        <v>Forecast</v>
      </c>
      <c r="F47" s="4" t="str">
        <f aca="false">IF(E47="Actual","Reported",Assumptions!$C$5)</f>
        <v>Base</v>
      </c>
      <c r="G47" s="7" t="s">
        <v>153</v>
      </c>
      <c r="H47" s="7" t="s">
        <v>106</v>
      </c>
      <c r="I47" s="10" t="n">
        <f aca="false">Forecast!N10</f>
        <v>1684.8</v>
      </c>
      <c r="J47" s="9"/>
    </row>
    <row r="48" customFormat="false" ht="15" hidden="false" customHeight="false" outlineLevel="0" collapsed="false">
      <c r="A48" s="7" t="s">
        <v>45</v>
      </c>
      <c r="B48" s="7" t="n">
        <v>2026</v>
      </c>
      <c r="C48" s="7" t="n">
        <v>4</v>
      </c>
      <c r="D48" s="40" t="n">
        <v>2026.4</v>
      </c>
      <c r="E48" s="4" t="str">
        <f aca="false">Forecast!N5</f>
        <v>Forecast</v>
      </c>
      <c r="F48" s="4" t="str">
        <f aca="false">IF(E48="Actual","Reported",Assumptions!$C$5)</f>
        <v>Base</v>
      </c>
      <c r="G48" s="7" t="s">
        <v>153</v>
      </c>
      <c r="H48" s="7" t="s">
        <v>107</v>
      </c>
      <c r="I48" s="10" t="n">
        <f aca="false">Forecast!N11</f>
        <v>1969.63</v>
      </c>
      <c r="J48" s="9"/>
    </row>
    <row r="49" customFormat="false" ht="15" hidden="false" customHeight="false" outlineLevel="0" collapsed="false">
      <c r="A49" s="7" t="s">
        <v>45</v>
      </c>
      <c r="B49" s="7" t="n">
        <v>2026</v>
      </c>
      <c r="C49" s="7" t="n">
        <v>4</v>
      </c>
      <c r="D49" s="40" t="n">
        <v>2026.4</v>
      </c>
      <c r="E49" s="4" t="str">
        <f aca="false">Forecast!N5</f>
        <v>Forecast</v>
      </c>
      <c r="F49" s="4" t="str">
        <f aca="false">IF(E49="Actual","Reported",Assumptions!$C$5)</f>
        <v>Base</v>
      </c>
      <c r="G49" s="7" t="s">
        <v>154</v>
      </c>
      <c r="H49" s="7" t="s">
        <v>248</v>
      </c>
      <c r="I49" s="10" t="n">
        <f aca="false">Forecast!N13</f>
        <v>1296.28</v>
      </c>
      <c r="J49" s="10" t="n">
        <f aca="false">Forecast!N18</f>
        <v>907.396</v>
      </c>
    </row>
    <row r="50" customFormat="false" ht="15" hidden="false" customHeight="false" outlineLevel="0" collapsed="false">
      <c r="A50" s="7" t="s">
        <v>164</v>
      </c>
      <c r="B50" s="7" t="n">
        <v>2027</v>
      </c>
      <c r="C50" s="7" t="n">
        <v>1</v>
      </c>
      <c r="D50" s="40" t="n">
        <v>2027.1</v>
      </c>
      <c r="E50" s="4" t="str">
        <f aca="false">Forecast!O5</f>
        <v>Forecast</v>
      </c>
      <c r="F50" s="4" t="str">
        <f aca="false">IF(E50="Actual","Reported",Assumptions!$C$5)</f>
        <v>Base</v>
      </c>
      <c r="G50" s="7" t="s">
        <v>153</v>
      </c>
      <c r="H50" s="7" t="s">
        <v>104</v>
      </c>
      <c r="I50" s="10" t="n">
        <f aca="false">Forecast!O9</f>
        <v>6885.12</v>
      </c>
      <c r="J50" s="9"/>
    </row>
    <row r="51" customFormat="false" ht="15" hidden="false" customHeight="false" outlineLevel="0" collapsed="false">
      <c r="A51" s="7" t="s">
        <v>164</v>
      </c>
      <c r="B51" s="7" t="n">
        <v>2027</v>
      </c>
      <c r="C51" s="7" t="n">
        <v>1</v>
      </c>
      <c r="D51" s="40" t="n">
        <v>2027.1</v>
      </c>
      <c r="E51" s="4" t="str">
        <f aca="false">Forecast!O5</f>
        <v>Forecast</v>
      </c>
      <c r="F51" s="4" t="str">
        <f aca="false">IF(E51="Actual","Reported",Assumptions!$C$5)</f>
        <v>Base</v>
      </c>
      <c r="G51" s="7" t="s">
        <v>153</v>
      </c>
      <c r="H51" s="7" t="s">
        <v>106</v>
      </c>
      <c r="I51" s="10" t="n">
        <f aca="false">Forecast!O10</f>
        <v>1431.3</v>
      </c>
      <c r="J51" s="9"/>
    </row>
    <row r="52" customFormat="false" ht="15" hidden="false" customHeight="false" outlineLevel="0" collapsed="false">
      <c r="A52" s="7" t="s">
        <v>164</v>
      </c>
      <c r="B52" s="7" t="n">
        <v>2027</v>
      </c>
      <c r="C52" s="7" t="n">
        <v>1</v>
      </c>
      <c r="D52" s="40" t="n">
        <v>2027.1</v>
      </c>
      <c r="E52" s="4" t="str">
        <f aca="false">Forecast!O5</f>
        <v>Forecast</v>
      </c>
      <c r="F52" s="4" t="str">
        <f aca="false">IF(E52="Actual","Reported",Assumptions!$C$5)</f>
        <v>Base</v>
      </c>
      <c r="G52" s="7" t="s">
        <v>153</v>
      </c>
      <c r="H52" s="7" t="s">
        <v>107</v>
      </c>
      <c r="I52" s="10" t="n">
        <f aca="false">Forecast!O11</f>
        <v>1856.8</v>
      </c>
      <c r="J52" s="9"/>
    </row>
    <row r="53" customFormat="false" ht="15" hidden="false" customHeight="false" outlineLevel="0" collapsed="false">
      <c r="A53" s="7" t="s">
        <v>164</v>
      </c>
      <c r="B53" s="7" t="n">
        <v>2027</v>
      </c>
      <c r="C53" s="7" t="n">
        <v>1</v>
      </c>
      <c r="D53" s="40" t="n">
        <v>2027.1</v>
      </c>
      <c r="E53" s="4" t="str">
        <f aca="false">Forecast!O5</f>
        <v>Forecast</v>
      </c>
      <c r="F53" s="4" t="str">
        <f aca="false">IF(E53="Actual","Reported",Assumptions!$C$5)</f>
        <v>Base</v>
      </c>
      <c r="G53" s="7" t="s">
        <v>154</v>
      </c>
      <c r="H53" s="7" t="s">
        <v>248</v>
      </c>
      <c r="I53" s="10" t="n">
        <f aca="false">Forecast!O13</f>
        <v>1544.24</v>
      </c>
      <c r="J53" s="10" t="n">
        <f aca="false">Forecast!O18</f>
        <v>1080.968</v>
      </c>
    </row>
    <row r="54" customFormat="false" ht="15" hidden="false" customHeight="false" outlineLevel="0" collapsed="false">
      <c r="A54" s="7" t="s">
        <v>165</v>
      </c>
      <c r="B54" s="7" t="n">
        <v>2027</v>
      </c>
      <c r="C54" s="7" t="n">
        <v>2</v>
      </c>
      <c r="D54" s="40" t="n">
        <v>2027.2</v>
      </c>
      <c r="E54" s="4" t="str">
        <f aca="false">Forecast!P5</f>
        <v>Forecast</v>
      </c>
      <c r="F54" s="4" t="str">
        <f aca="false">IF(E54="Actual","Reported",Assumptions!$C$5)</f>
        <v>Base</v>
      </c>
      <c r="G54" s="7" t="s">
        <v>153</v>
      </c>
      <c r="H54" s="7" t="s">
        <v>104</v>
      </c>
      <c r="I54" s="10" t="n">
        <f aca="false">Forecast!P9</f>
        <v>5301.12</v>
      </c>
      <c r="J54" s="9"/>
    </row>
    <row r="55" customFormat="false" ht="15" hidden="false" customHeight="false" outlineLevel="0" collapsed="false">
      <c r="A55" s="7" t="s">
        <v>165</v>
      </c>
      <c r="B55" s="7" t="n">
        <v>2027</v>
      </c>
      <c r="C55" s="7" t="n">
        <v>2</v>
      </c>
      <c r="D55" s="40" t="n">
        <v>2027.2</v>
      </c>
      <c r="E55" s="4" t="str">
        <f aca="false">Forecast!P5</f>
        <v>Forecast</v>
      </c>
      <c r="F55" s="4" t="str">
        <f aca="false">IF(E55="Actual","Reported",Assumptions!$C$5)</f>
        <v>Base</v>
      </c>
      <c r="G55" s="7" t="s">
        <v>153</v>
      </c>
      <c r="H55" s="7" t="s">
        <v>106</v>
      </c>
      <c r="I55" s="10" t="n">
        <f aca="false">Forecast!P10</f>
        <v>1723.8</v>
      </c>
      <c r="J55" s="9"/>
    </row>
    <row r="56" customFormat="false" ht="15" hidden="false" customHeight="false" outlineLevel="0" collapsed="false">
      <c r="A56" s="7" t="s">
        <v>165</v>
      </c>
      <c r="B56" s="7" t="n">
        <v>2027</v>
      </c>
      <c r="C56" s="7" t="n">
        <v>2</v>
      </c>
      <c r="D56" s="40" t="n">
        <v>2027.2</v>
      </c>
      <c r="E56" s="4" t="str">
        <f aca="false">Forecast!P5</f>
        <v>Forecast</v>
      </c>
      <c r="F56" s="4" t="str">
        <f aca="false">IF(E56="Actual","Reported",Assumptions!$C$5)</f>
        <v>Base</v>
      </c>
      <c r="G56" s="7" t="s">
        <v>153</v>
      </c>
      <c r="H56" s="7" t="s">
        <v>107</v>
      </c>
      <c r="I56" s="10" t="n">
        <f aca="false">Forecast!P11</f>
        <v>1898.6</v>
      </c>
      <c r="J56" s="9"/>
    </row>
    <row r="57" customFormat="false" ht="15" hidden="false" customHeight="false" outlineLevel="0" collapsed="false">
      <c r="A57" s="7" t="s">
        <v>165</v>
      </c>
      <c r="B57" s="7" t="n">
        <v>2027</v>
      </c>
      <c r="C57" s="7" t="n">
        <v>2</v>
      </c>
      <c r="D57" s="40" t="n">
        <v>2027.2</v>
      </c>
      <c r="E57" s="4" t="str">
        <f aca="false">Forecast!P5</f>
        <v>Forecast</v>
      </c>
      <c r="F57" s="4" t="str">
        <f aca="false">IF(E57="Actual","Reported",Assumptions!$C$5)</f>
        <v>Base</v>
      </c>
      <c r="G57" s="7" t="s">
        <v>154</v>
      </c>
      <c r="H57" s="7" t="s">
        <v>248</v>
      </c>
      <c r="I57" s="10" t="n">
        <f aca="false">Forecast!P13</f>
        <v>1340.54</v>
      </c>
      <c r="J57" s="10" t="n">
        <f aca="false">Forecast!P18</f>
        <v>938.378</v>
      </c>
    </row>
    <row r="58" customFormat="false" ht="15" hidden="false" customHeight="false" outlineLevel="0" collapsed="false">
      <c r="A58" s="7" t="s">
        <v>166</v>
      </c>
      <c r="B58" s="7" t="n">
        <v>2027</v>
      </c>
      <c r="C58" s="7" t="n">
        <v>3</v>
      </c>
      <c r="D58" s="40" t="n">
        <v>2027.3</v>
      </c>
      <c r="E58" s="4" t="str">
        <f aca="false">Forecast!Q5</f>
        <v>Forecast</v>
      </c>
      <c r="F58" s="4" t="str">
        <f aca="false">IF(E58="Actual","Reported",Assumptions!$C$5)</f>
        <v>Base</v>
      </c>
      <c r="G58" s="7" t="s">
        <v>153</v>
      </c>
      <c r="H58" s="7" t="s">
        <v>104</v>
      </c>
      <c r="I58" s="10" t="n">
        <f aca="false">Forecast!Q9</f>
        <v>4475.68</v>
      </c>
      <c r="J58" s="9"/>
    </row>
    <row r="59" customFormat="false" ht="15" hidden="false" customHeight="false" outlineLevel="0" collapsed="false">
      <c r="A59" s="7" t="s">
        <v>166</v>
      </c>
      <c r="B59" s="7" t="n">
        <v>2027</v>
      </c>
      <c r="C59" s="7" t="n">
        <v>3</v>
      </c>
      <c r="D59" s="40" t="n">
        <v>2027.3</v>
      </c>
      <c r="E59" s="4" t="str">
        <f aca="false">Forecast!Q5</f>
        <v>Forecast</v>
      </c>
      <c r="F59" s="4" t="str">
        <f aca="false">IF(E59="Actual","Reported",Assumptions!$C$5)</f>
        <v>Base</v>
      </c>
      <c r="G59" s="7" t="s">
        <v>153</v>
      </c>
      <c r="H59" s="7" t="s">
        <v>106</v>
      </c>
      <c r="I59" s="10" t="n">
        <f aca="false">Forecast!Q10</f>
        <v>2064.4</v>
      </c>
      <c r="J59" s="9"/>
    </row>
    <row r="60" customFormat="false" ht="15" hidden="false" customHeight="false" outlineLevel="0" collapsed="false">
      <c r="A60" s="7" t="s">
        <v>166</v>
      </c>
      <c r="B60" s="7" t="n">
        <v>2027</v>
      </c>
      <c r="C60" s="7" t="n">
        <v>3</v>
      </c>
      <c r="D60" s="40" t="n">
        <v>2027.3</v>
      </c>
      <c r="E60" s="4" t="str">
        <f aca="false">Forecast!Q5</f>
        <v>Forecast</v>
      </c>
      <c r="F60" s="4" t="str">
        <f aca="false">IF(E60="Actual","Reported",Assumptions!$C$5)</f>
        <v>Base</v>
      </c>
      <c r="G60" s="7" t="s">
        <v>153</v>
      </c>
      <c r="H60" s="7" t="s">
        <v>107</v>
      </c>
      <c r="I60" s="10" t="n">
        <f aca="false">Forecast!Q11</f>
        <v>2013</v>
      </c>
      <c r="J60" s="9"/>
    </row>
    <row r="61" customFormat="false" ht="15" hidden="false" customHeight="false" outlineLevel="0" collapsed="false">
      <c r="A61" s="7" t="s">
        <v>166</v>
      </c>
      <c r="B61" s="7" t="n">
        <v>2027</v>
      </c>
      <c r="C61" s="7" t="n">
        <v>3</v>
      </c>
      <c r="D61" s="40" t="n">
        <v>2027.3</v>
      </c>
      <c r="E61" s="4" t="str">
        <f aca="false">Forecast!Q5</f>
        <v>Forecast</v>
      </c>
      <c r="F61" s="4" t="str">
        <f aca="false">IF(E61="Actual","Reported",Assumptions!$C$5)</f>
        <v>Base</v>
      </c>
      <c r="G61" s="7" t="s">
        <v>154</v>
      </c>
      <c r="H61" s="7" t="s">
        <v>248</v>
      </c>
      <c r="I61" s="10" t="n">
        <f aca="false">Forecast!Q13</f>
        <v>1239.66</v>
      </c>
      <c r="J61" s="10" t="n">
        <f aca="false">Forecast!Q18</f>
        <v>867.762</v>
      </c>
    </row>
    <row r="62" customFormat="false" ht="15" hidden="false" customHeight="false" outlineLevel="0" collapsed="false">
      <c r="A62" s="7" t="s">
        <v>167</v>
      </c>
      <c r="B62" s="7" t="n">
        <v>2027</v>
      </c>
      <c r="C62" s="7" t="n">
        <v>4</v>
      </c>
      <c r="D62" s="40" t="n">
        <v>2027.4</v>
      </c>
      <c r="E62" s="4" t="str">
        <f aca="false">Forecast!R5</f>
        <v>Forecast</v>
      </c>
      <c r="F62" s="4" t="str">
        <f aca="false">IF(E62="Actual","Reported",Assumptions!$C$5)</f>
        <v>Base</v>
      </c>
      <c r="G62" s="7" t="s">
        <v>153</v>
      </c>
      <c r="H62" s="7" t="s">
        <v>104</v>
      </c>
      <c r="I62" s="10" t="n">
        <f aca="false">Forecast!R9</f>
        <v>4471.7464</v>
      </c>
      <c r="J62" s="9"/>
    </row>
    <row r="63" customFormat="false" ht="15" hidden="false" customHeight="false" outlineLevel="0" collapsed="false">
      <c r="A63" s="7" t="s">
        <v>167</v>
      </c>
      <c r="B63" s="7" t="n">
        <v>2027</v>
      </c>
      <c r="C63" s="7" t="n">
        <v>4</v>
      </c>
      <c r="D63" s="40" t="n">
        <v>2027.4</v>
      </c>
      <c r="E63" s="4" t="str">
        <f aca="false">Forecast!R5</f>
        <v>Forecast</v>
      </c>
      <c r="F63" s="4" t="str">
        <f aca="false">IF(E63="Actual","Reported",Assumptions!$C$5)</f>
        <v>Base</v>
      </c>
      <c r="G63" s="7" t="s">
        <v>153</v>
      </c>
      <c r="H63" s="7" t="s">
        <v>106</v>
      </c>
      <c r="I63" s="10" t="n">
        <f aca="false">Forecast!R10</f>
        <v>2190.24</v>
      </c>
      <c r="J63" s="9"/>
    </row>
    <row r="64" customFormat="false" ht="15" hidden="false" customHeight="false" outlineLevel="0" collapsed="false">
      <c r="A64" s="7" t="s">
        <v>167</v>
      </c>
      <c r="B64" s="7" t="n">
        <v>2027</v>
      </c>
      <c r="C64" s="7" t="n">
        <v>4</v>
      </c>
      <c r="D64" s="40" t="n">
        <v>2027.4</v>
      </c>
      <c r="E64" s="4" t="str">
        <f aca="false">Forecast!R5</f>
        <v>Forecast</v>
      </c>
      <c r="F64" s="4" t="str">
        <f aca="false">IF(E64="Actual","Reported",Assumptions!$C$5)</f>
        <v>Base</v>
      </c>
      <c r="G64" s="7" t="s">
        <v>153</v>
      </c>
      <c r="H64" s="7" t="s">
        <v>107</v>
      </c>
      <c r="I64" s="10" t="n">
        <f aca="false">Forecast!R11</f>
        <v>2166.593</v>
      </c>
      <c r="J64" s="9"/>
    </row>
    <row r="65" customFormat="false" ht="15" hidden="false" customHeight="false" outlineLevel="0" collapsed="false">
      <c r="A65" s="7" t="s">
        <v>167</v>
      </c>
      <c r="B65" s="7" t="n">
        <v>2027</v>
      </c>
      <c r="C65" s="7" t="n">
        <v>4</v>
      </c>
      <c r="D65" s="40" t="n">
        <v>2027.4</v>
      </c>
      <c r="E65" s="4" t="str">
        <f aca="false">Forecast!R5</f>
        <v>Forecast</v>
      </c>
      <c r="F65" s="4" t="str">
        <f aca="false">IF(E65="Actual","Reported",Assumptions!$C$5)</f>
        <v>Base</v>
      </c>
      <c r="G65" s="7" t="s">
        <v>154</v>
      </c>
      <c r="H65" s="7" t="s">
        <v>248</v>
      </c>
      <c r="I65" s="10" t="n">
        <f aca="false">Forecast!R13</f>
        <v>1257.3916</v>
      </c>
      <c r="J65" s="10" t="n">
        <f aca="false">Forecast!R18</f>
        <v>880.17412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2" min="1" style="0" width="16"/>
  </cols>
  <sheetData>
    <row r="1" customFormat="false" ht="15" hidden="false" customHeight="false" outlineLevel="0" collapsed="false">
      <c r="A1" s="15" t="s">
        <v>238</v>
      </c>
      <c r="B1" s="15" t="s">
        <v>239</v>
      </c>
      <c r="C1" s="15" t="s">
        <v>240</v>
      </c>
      <c r="D1" s="15" t="s">
        <v>241</v>
      </c>
      <c r="E1" s="15" t="s">
        <v>244</v>
      </c>
      <c r="F1" s="15" t="s">
        <v>242</v>
      </c>
      <c r="G1" s="15" t="s">
        <v>249</v>
      </c>
      <c r="H1" s="15" t="s">
        <v>250</v>
      </c>
      <c r="I1" s="15" t="s">
        <v>251</v>
      </c>
      <c r="J1" s="15" t="s">
        <v>252</v>
      </c>
      <c r="K1" s="15" t="s">
        <v>253</v>
      </c>
      <c r="L1" s="15" t="s">
        <v>254</v>
      </c>
    </row>
    <row r="2" customFormat="false" ht="15" hidden="false" customHeight="false" outlineLevel="0" collapsed="false">
      <c r="A2" s="7" t="s">
        <v>69</v>
      </c>
      <c r="B2" s="7" t="n">
        <v>2024</v>
      </c>
      <c r="C2" s="7" t="n">
        <v>2</v>
      </c>
      <c r="D2" s="40" t="n">
        <v>2024.2</v>
      </c>
      <c r="E2" s="7" t="s">
        <v>153</v>
      </c>
      <c r="F2" s="4" t="str">
        <f aca="false">Forecast!D5</f>
        <v>Actual</v>
      </c>
      <c r="G2" s="10" t="n">
        <f aca="false">Forecast!D12</f>
        <v>8026</v>
      </c>
      <c r="H2" s="10" t="n">
        <f aca="false">Guidance!D14</f>
        <v>7600</v>
      </c>
      <c r="I2" s="10" t="n">
        <f aca="false">Guidance!D15</f>
        <v>8200</v>
      </c>
      <c r="J2" s="10" t="n">
        <f aca="false">Guidance!D16</f>
        <v>7900</v>
      </c>
      <c r="K2" s="21" t="n">
        <f aca="false">IF(J2=0,0,G2/J2-1)</f>
        <v>0.0159493670886075</v>
      </c>
      <c r="L2" s="7" t="str">
        <f aca="false">IF(G2&gt;I2,"Above",IF(G2&lt;H2,"Below","Within"))</f>
        <v>Within</v>
      </c>
    </row>
    <row r="3" customFormat="false" ht="15" hidden="false" customHeight="false" outlineLevel="0" collapsed="false">
      <c r="A3" s="7" t="s">
        <v>69</v>
      </c>
      <c r="B3" s="7" t="n">
        <v>2024</v>
      </c>
      <c r="C3" s="7" t="n">
        <v>2</v>
      </c>
      <c r="D3" s="40" t="n">
        <v>2024.2</v>
      </c>
      <c r="E3" s="7" t="s">
        <v>154</v>
      </c>
      <c r="F3" s="4" t="str">
        <f aca="false">Forecast!D5</f>
        <v>Actual</v>
      </c>
      <c r="G3" s="10" t="n">
        <f aca="false">Forecast!D13</f>
        <v>1318</v>
      </c>
      <c r="H3" s="10" t="n">
        <f aca="false">Guidance!D19</f>
        <v>1200</v>
      </c>
      <c r="I3" s="10" t="n">
        <f aca="false">Guidance!D20</f>
        <v>1400</v>
      </c>
      <c r="J3" s="10" t="n">
        <f aca="false">Guidance!D21</f>
        <v>1300</v>
      </c>
      <c r="K3" s="21" t="n">
        <f aca="false">IF(J3=0,0,G3/J3-1)</f>
        <v>0.0138461538461538</v>
      </c>
      <c r="L3" s="7" t="str">
        <f aca="false">IF(G3&gt;I3,"Above",IF(G3&lt;H3,"Below","Within"))</f>
        <v>Within</v>
      </c>
    </row>
    <row r="4" customFormat="false" ht="15" hidden="false" customHeight="false" outlineLevel="0" collapsed="false">
      <c r="A4" s="7" t="s">
        <v>70</v>
      </c>
      <c r="B4" s="7" t="n">
        <v>2024</v>
      </c>
      <c r="C4" s="7" t="n">
        <v>3</v>
      </c>
      <c r="D4" s="40" t="n">
        <v>2024.3</v>
      </c>
      <c r="E4" s="7" t="s">
        <v>153</v>
      </c>
      <c r="F4" s="4" t="str">
        <f aca="false">Forecast!E5</f>
        <v>Actual</v>
      </c>
      <c r="G4" s="10" t="n">
        <f aca="false">Forecast!E12</f>
        <v>8069</v>
      </c>
      <c r="H4" s="10" t="n">
        <f aca="false">Guidance!E14</f>
        <v>7500</v>
      </c>
      <c r="I4" s="10" t="n">
        <f aca="false">Guidance!E15</f>
        <v>8100</v>
      </c>
      <c r="J4" s="10" t="n">
        <f aca="false">Guidance!E16</f>
        <v>7800</v>
      </c>
      <c r="K4" s="21" t="n">
        <f aca="false">IF(J4=0,0,G4/J4-1)</f>
        <v>0.0344871794871795</v>
      </c>
      <c r="L4" s="7" t="str">
        <f aca="false">IF(G4&gt;I4,"Above",IF(G4&lt;H4,"Below","Within"))</f>
        <v>Within</v>
      </c>
    </row>
    <row r="5" customFormat="false" ht="15" hidden="false" customHeight="false" outlineLevel="0" collapsed="false">
      <c r="A5" s="7" t="s">
        <v>70</v>
      </c>
      <c r="B5" s="7" t="n">
        <v>2024</v>
      </c>
      <c r="C5" s="7" t="n">
        <v>3</v>
      </c>
      <c r="D5" s="40" t="n">
        <v>2024.3</v>
      </c>
      <c r="E5" s="7" t="s">
        <v>154</v>
      </c>
      <c r="F5" s="4" t="str">
        <f aca="false">Forecast!E5</f>
        <v>Actual</v>
      </c>
      <c r="G5" s="10" t="n">
        <f aca="false">Forecast!E13</f>
        <v>1273</v>
      </c>
      <c r="H5" s="10" t="n">
        <f aca="false">Guidance!E19</f>
        <v>1200</v>
      </c>
      <c r="I5" s="10" t="n">
        <f aca="false">Guidance!E20</f>
        <v>1400</v>
      </c>
      <c r="J5" s="10" t="n">
        <f aca="false">Guidance!E21</f>
        <v>1300</v>
      </c>
      <c r="K5" s="21" t="n">
        <f aca="false">IF(J5=0,0,G5/J5-1)</f>
        <v>-0.0207692307692308</v>
      </c>
      <c r="L5" s="7" t="str">
        <f aca="false">IF(G5&gt;I5,"Above",IF(G5&lt;H5,"Below","Within"))</f>
        <v>Within</v>
      </c>
    </row>
    <row r="6" customFormat="false" ht="15" hidden="false" customHeight="false" outlineLevel="0" collapsed="false">
      <c r="A6" s="7" t="s">
        <v>71</v>
      </c>
      <c r="B6" s="7" t="n">
        <v>2024</v>
      </c>
      <c r="C6" s="7" t="n">
        <v>4</v>
      </c>
      <c r="D6" s="40" t="n">
        <v>2024.4</v>
      </c>
      <c r="E6" s="7" t="s">
        <v>153</v>
      </c>
      <c r="F6" s="4" t="str">
        <f aca="false">Forecast!F5</f>
        <v>Actual</v>
      </c>
      <c r="G6" s="10" t="n">
        <f aca="false">Forecast!F12</f>
        <v>8678</v>
      </c>
      <c r="H6" s="10" t="n">
        <f aca="false">Guidance!F14</f>
        <v>8100</v>
      </c>
      <c r="I6" s="10" t="n">
        <f aca="false">Guidance!F15</f>
        <v>8700</v>
      </c>
      <c r="J6" s="10" t="n">
        <f aca="false">Guidance!F16</f>
        <v>8400</v>
      </c>
      <c r="K6" s="21" t="n">
        <f aca="false">IF(J6=0,0,G6/J6-1)</f>
        <v>0.0330952380952381</v>
      </c>
      <c r="L6" s="7" t="str">
        <f aca="false">IF(G6&gt;I6,"Above",IF(G6&lt;H6,"Below","Within"))</f>
        <v>Within</v>
      </c>
    </row>
    <row r="7" customFormat="false" ht="15" hidden="false" customHeight="false" outlineLevel="0" collapsed="false">
      <c r="A7" s="7" t="s">
        <v>71</v>
      </c>
      <c r="B7" s="7" t="n">
        <v>2024</v>
      </c>
      <c r="C7" s="7" t="n">
        <v>4</v>
      </c>
      <c r="D7" s="40" t="n">
        <v>2024.4</v>
      </c>
      <c r="E7" s="7" t="s">
        <v>154</v>
      </c>
      <c r="F7" s="4" t="str">
        <f aca="false">Forecast!F5</f>
        <v>Actual</v>
      </c>
      <c r="G7" s="10" t="n">
        <f aca="false">Forecast!F13</f>
        <v>1521</v>
      </c>
      <c r="H7" s="10" t="n">
        <f aca="false">Guidance!F19</f>
        <v>1350</v>
      </c>
      <c r="I7" s="10" t="n">
        <f aca="false">Guidance!F20</f>
        <v>1550</v>
      </c>
      <c r="J7" s="10" t="n">
        <f aca="false">Guidance!F21</f>
        <v>1450</v>
      </c>
      <c r="K7" s="21" t="n">
        <f aca="false">IF(J7=0,0,G7/J7-1)</f>
        <v>0.0489655172413792</v>
      </c>
      <c r="L7" s="7" t="str">
        <f aca="false">IF(G7&gt;I7,"Above",IF(G7&lt;H7,"Below","Within"))</f>
        <v>Within</v>
      </c>
    </row>
    <row r="8" customFormat="false" ht="15" hidden="false" customHeight="false" outlineLevel="0" collapsed="false">
      <c r="A8" s="7" t="s">
        <v>72</v>
      </c>
      <c r="B8" s="7" t="n">
        <v>2025</v>
      </c>
      <c r="C8" s="7" t="n">
        <v>1</v>
      </c>
      <c r="D8" s="40" t="n">
        <v>2025.1</v>
      </c>
      <c r="E8" s="7" t="s">
        <v>153</v>
      </c>
      <c r="F8" s="4" t="str">
        <f aca="false">Forecast!G5</f>
        <v>Actual</v>
      </c>
      <c r="G8" s="10" t="n">
        <f aca="false">Forecast!G12</f>
        <v>10084</v>
      </c>
      <c r="H8" s="10" t="n">
        <f aca="false">Guidance!G14</f>
        <v>9000</v>
      </c>
      <c r="I8" s="10" t="n">
        <f aca="false">Guidance!G15</f>
        <v>9600</v>
      </c>
      <c r="J8" s="10" t="n">
        <f aca="false">Guidance!G16</f>
        <v>9300</v>
      </c>
      <c r="K8" s="21" t="n">
        <f aca="false">IF(J8=0,0,G8/J8-1)</f>
        <v>0.0843010752688171</v>
      </c>
      <c r="L8" s="7" t="str">
        <f aca="false">IF(G8&gt;I8,"Above",IF(G8&lt;H8,"Below","Within"))</f>
        <v>Above</v>
      </c>
    </row>
    <row r="9" customFormat="false" ht="15" hidden="false" customHeight="false" outlineLevel="0" collapsed="false">
      <c r="A9" s="7" t="s">
        <v>72</v>
      </c>
      <c r="B9" s="7" t="n">
        <v>2025</v>
      </c>
      <c r="C9" s="7" t="n">
        <v>1</v>
      </c>
      <c r="D9" s="40" t="n">
        <v>2025.1</v>
      </c>
      <c r="E9" s="7" t="s">
        <v>154</v>
      </c>
      <c r="F9" s="4" t="str">
        <f aca="false">Forecast!G5</f>
        <v>Actual</v>
      </c>
      <c r="G9" s="10" t="n">
        <f aca="false">Forecast!G13</f>
        <v>1535</v>
      </c>
      <c r="H9" s="10" t="n">
        <f aca="false">Guidance!G19</f>
        <v>1450</v>
      </c>
      <c r="I9" s="10" t="n">
        <f aca="false">Guidance!G20</f>
        <v>1650</v>
      </c>
      <c r="J9" s="10" t="n">
        <f aca="false">Guidance!G21</f>
        <v>1550</v>
      </c>
      <c r="K9" s="21" t="n">
        <f aca="false">IF(J9=0,0,G9/J9-1)</f>
        <v>-0.00967741935483868</v>
      </c>
      <c r="L9" s="7" t="str">
        <f aca="false">IF(G9&gt;I9,"Above",IF(G9&lt;H9,"Below","Within"))</f>
        <v>Within</v>
      </c>
    </row>
    <row r="10" customFormat="false" ht="15" hidden="false" customHeight="false" outlineLevel="0" collapsed="false">
      <c r="A10" s="7" t="s">
        <v>73</v>
      </c>
      <c r="B10" s="7" t="n">
        <v>2025</v>
      </c>
      <c r="C10" s="7" t="n">
        <v>2</v>
      </c>
      <c r="D10" s="40" t="n">
        <v>2025.2</v>
      </c>
      <c r="E10" s="7" t="s">
        <v>153</v>
      </c>
      <c r="F10" s="4" t="str">
        <f aca="false">Forecast!H5</f>
        <v>Actual</v>
      </c>
      <c r="G10" s="10" t="n">
        <f aca="false">Forecast!H12</f>
        <v>9469</v>
      </c>
      <c r="H10" s="10" t="n">
        <f aca="false">Guidance!H14</f>
        <v>8900</v>
      </c>
      <c r="I10" s="10" t="n">
        <f aca="false">Guidance!H15</f>
        <v>9500</v>
      </c>
      <c r="J10" s="10" t="n">
        <f aca="false">Guidance!H16</f>
        <v>9200</v>
      </c>
      <c r="K10" s="21" t="n">
        <f aca="false">IF(J10=0,0,G10/J10-1)</f>
        <v>0.0292391304347825</v>
      </c>
      <c r="L10" s="7" t="str">
        <f aca="false">IF(G10&gt;I10,"Above",IF(G10&lt;H10,"Below","Within"))</f>
        <v>Within</v>
      </c>
    </row>
    <row r="11" customFormat="false" ht="15" hidden="false" customHeight="false" outlineLevel="0" collapsed="false">
      <c r="A11" s="7" t="s">
        <v>73</v>
      </c>
      <c r="B11" s="7" t="n">
        <v>2025</v>
      </c>
      <c r="C11" s="7" t="n">
        <v>2</v>
      </c>
      <c r="D11" s="40" t="n">
        <v>2025.2</v>
      </c>
      <c r="E11" s="7" t="s">
        <v>154</v>
      </c>
      <c r="F11" s="4" t="str">
        <f aca="false">Forecast!H5</f>
        <v>Actual</v>
      </c>
      <c r="G11" s="10" t="n">
        <f aca="false">Forecast!H13</f>
        <v>1319</v>
      </c>
      <c r="H11" s="10" t="n">
        <f aca="false">Guidance!H19</f>
        <v>1250</v>
      </c>
      <c r="I11" s="10" t="n">
        <f aca="false">Guidance!H20</f>
        <v>1450</v>
      </c>
      <c r="J11" s="10" t="n">
        <f aca="false">Guidance!H21</f>
        <v>1350</v>
      </c>
      <c r="K11" s="21" t="n">
        <f aca="false">IF(J11=0,0,G11/J11-1)</f>
        <v>-0.022962962962963</v>
      </c>
      <c r="L11" s="7" t="str">
        <f aca="false">IF(G11&gt;I11,"Above",IF(G11&lt;H11,"Below","Within"))</f>
        <v>Within</v>
      </c>
    </row>
    <row r="12" customFormat="false" ht="15" hidden="false" customHeight="false" outlineLevel="0" collapsed="false">
      <c r="A12" s="7" t="s">
        <v>74</v>
      </c>
      <c r="B12" s="7" t="n">
        <v>2025</v>
      </c>
      <c r="C12" s="7" t="n">
        <v>3</v>
      </c>
      <c r="D12" s="40" t="n">
        <v>2025.3</v>
      </c>
      <c r="E12" s="7" t="s">
        <v>153</v>
      </c>
      <c r="F12" s="4" t="str">
        <f aca="false">Forecast!I5</f>
        <v>Actual</v>
      </c>
      <c r="G12" s="10" t="n">
        <f aca="false">Forecast!I12</f>
        <v>8993</v>
      </c>
      <c r="H12" s="10" t="n">
        <f aca="false">Guidance!I14</f>
        <v>8700</v>
      </c>
      <c r="I12" s="10" t="n">
        <f aca="false">Guidance!I15</f>
        <v>9300</v>
      </c>
      <c r="J12" s="10" t="n">
        <f aca="false">Guidance!I16</f>
        <v>9000</v>
      </c>
      <c r="K12" s="21" t="n">
        <f aca="false">IF(J12=0,0,G12/J12-1)</f>
        <v>-0.000777777777777766</v>
      </c>
      <c r="L12" s="7" t="str">
        <f aca="false">IF(G12&gt;I12,"Above",IF(G12&lt;H12,"Below","Within"))</f>
        <v>Within</v>
      </c>
    </row>
    <row r="13" customFormat="false" ht="15" hidden="false" customHeight="false" outlineLevel="0" collapsed="false">
      <c r="A13" s="7" t="s">
        <v>74</v>
      </c>
      <c r="B13" s="7" t="n">
        <v>2025</v>
      </c>
      <c r="C13" s="7" t="n">
        <v>3</v>
      </c>
      <c r="D13" s="40" t="n">
        <v>2025.3</v>
      </c>
      <c r="E13" s="7" t="s">
        <v>154</v>
      </c>
      <c r="F13" s="4" t="str">
        <f aca="false">Forecast!I5</f>
        <v>Actual</v>
      </c>
      <c r="G13" s="10" t="n">
        <f aca="false">Forecast!I13</f>
        <v>1318</v>
      </c>
      <c r="H13" s="10" t="n">
        <f aca="false">Guidance!I19</f>
        <v>1150</v>
      </c>
      <c r="I13" s="10" t="n">
        <f aca="false">Guidance!I20</f>
        <v>1350</v>
      </c>
      <c r="J13" s="10" t="n">
        <f aca="false">Guidance!I21</f>
        <v>1250</v>
      </c>
      <c r="K13" s="21" t="n">
        <f aca="false">IF(J13=0,0,G13/J13-1)</f>
        <v>0.0544</v>
      </c>
      <c r="L13" s="7" t="str">
        <f aca="false">IF(G13&gt;I13,"Above",IF(G13&lt;H13,"Below","Within"))</f>
        <v>Within</v>
      </c>
    </row>
    <row r="14" customFormat="false" ht="15" hidden="false" customHeight="false" outlineLevel="0" collapsed="false">
      <c r="A14" s="7" t="s">
        <v>75</v>
      </c>
      <c r="B14" s="7" t="n">
        <v>2025</v>
      </c>
      <c r="C14" s="7" t="n">
        <v>4</v>
      </c>
      <c r="D14" s="40" t="n">
        <v>2025.4</v>
      </c>
      <c r="E14" s="7" t="s">
        <v>153</v>
      </c>
      <c r="F14" s="4" t="str">
        <f aca="false">Forecast!J5</f>
        <v>Actual</v>
      </c>
      <c r="G14" s="10" t="n">
        <f aca="false">Forecast!J12</f>
        <v>9821</v>
      </c>
      <c r="H14" s="10" t="n">
        <f aca="false">Guidance!J14</f>
        <v>9000</v>
      </c>
      <c r="I14" s="10" t="n">
        <f aca="false">Guidance!J15</f>
        <v>9600</v>
      </c>
      <c r="J14" s="10" t="n">
        <f aca="false">Guidance!J16</f>
        <v>9300</v>
      </c>
      <c r="K14" s="21" t="n">
        <f aca="false">IF(J14=0,0,G14/J14-1)</f>
        <v>0.056021505376344</v>
      </c>
      <c r="L14" s="7" t="str">
        <f aca="false">IF(G14&gt;I14,"Above",IF(G14&lt;H14,"Below","Within"))</f>
        <v>Above</v>
      </c>
    </row>
    <row r="15" customFormat="false" ht="15" hidden="false" customHeight="false" outlineLevel="0" collapsed="false">
      <c r="A15" s="7" t="s">
        <v>75</v>
      </c>
      <c r="B15" s="7" t="n">
        <v>2025</v>
      </c>
      <c r="C15" s="7" t="n">
        <v>4</v>
      </c>
      <c r="D15" s="40" t="n">
        <v>2025.4</v>
      </c>
      <c r="E15" s="7" t="s">
        <v>154</v>
      </c>
      <c r="F15" s="4" t="str">
        <f aca="false">Forecast!J5</f>
        <v>Actual</v>
      </c>
      <c r="G15" s="10" t="n">
        <f aca="false">Forecast!J13</f>
        <v>1409</v>
      </c>
      <c r="H15" s="10" t="n">
        <f aca="false">Guidance!J19</f>
        <v>1250</v>
      </c>
      <c r="I15" s="10" t="n">
        <f aca="false">Guidance!J20</f>
        <v>1450</v>
      </c>
      <c r="J15" s="10" t="n">
        <f aca="false">Guidance!J21</f>
        <v>1350</v>
      </c>
      <c r="K15" s="21" t="n">
        <f aca="false">IF(J15=0,0,G15/J15-1)</f>
        <v>0.0437037037037038</v>
      </c>
      <c r="L15" s="7" t="str">
        <f aca="false">IF(G15&gt;I15,"Above",IF(G15&lt;H15,"Below","Within"))</f>
        <v>Within</v>
      </c>
    </row>
    <row r="16" customFormat="false" ht="15" hidden="false" customHeight="false" outlineLevel="0" collapsed="false">
      <c r="A16" s="7" t="s">
        <v>76</v>
      </c>
      <c r="B16" s="7" t="n">
        <v>2026</v>
      </c>
      <c r="C16" s="7" t="n">
        <v>1</v>
      </c>
      <c r="D16" s="40" t="n">
        <v>2026.1</v>
      </c>
      <c r="E16" s="7" t="s">
        <v>153</v>
      </c>
      <c r="F16" s="4" t="str">
        <f aca="false">Forecast!K5</f>
        <v>Actual</v>
      </c>
      <c r="G16" s="10" t="n">
        <f aca="false">Forecast!K12</f>
        <v>10613</v>
      </c>
      <c r="H16" s="10" t="n">
        <f aca="false">Guidance!K14</f>
        <v>10300</v>
      </c>
      <c r="I16" s="10" t="n">
        <f aca="false">Guidance!K15</f>
        <v>10900</v>
      </c>
      <c r="J16" s="10" t="n">
        <f aca="false">Guidance!K16</f>
        <v>10600</v>
      </c>
      <c r="K16" s="21" t="n">
        <f aca="false">IF(J16=0,0,G16/J16-1)</f>
        <v>0.00122641509433952</v>
      </c>
      <c r="L16" s="7" t="str">
        <f aca="false">IF(G16&gt;I16,"Above",IF(G16&lt;H16,"Below","Within"))</f>
        <v>Within</v>
      </c>
    </row>
    <row r="17" customFormat="false" ht="15" hidden="false" customHeight="false" outlineLevel="0" collapsed="false">
      <c r="A17" s="7" t="s">
        <v>76</v>
      </c>
      <c r="B17" s="7" t="n">
        <v>2026</v>
      </c>
      <c r="C17" s="7" t="n">
        <v>1</v>
      </c>
      <c r="D17" s="40" t="n">
        <v>2026.1</v>
      </c>
      <c r="E17" s="7" t="s">
        <v>154</v>
      </c>
      <c r="F17" s="4" t="str">
        <f aca="false">Forecast!K5</f>
        <v>Actual</v>
      </c>
      <c r="G17" s="10" t="n">
        <f aca="false">Forecast!K13</f>
        <v>1592</v>
      </c>
      <c r="H17" s="10" t="n">
        <f aca="false">Guidance!K19</f>
        <v>1400</v>
      </c>
      <c r="I17" s="10" t="n">
        <f aca="false">Guidance!K20</f>
        <v>1600</v>
      </c>
      <c r="J17" s="10" t="n">
        <f aca="false">Guidance!K21</f>
        <v>1500</v>
      </c>
      <c r="K17" s="21" t="n">
        <f aca="false">IF(J17=0,0,G17/J17-1)</f>
        <v>0.0613333333333332</v>
      </c>
      <c r="L17" s="7" t="str">
        <f aca="false">IF(G17&gt;I17,"Above",IF(G17&lt;H17,"Below","Within"))</f>
        <v>Within</v>
      </c>
    </row>
    <row r="18" customFormat="false" ht="15" hidden="false" customHeight="false" outlineLevel="0" collapsed="false">
      <c r="A18" s="7" t="s">
        <v>77</v>
      </c>
      <c r="B18" s="7" t="n">
        <v>2026</v>
      </c>
      <c r="C18" s="7" t="n">
        <v>2</v>
      </c>
      <c r="D18" s="40" t="n">
        <v>2026.2</v>
      </c>
      <c r="E18" s="7" t="s">
        <v>153</v>
      </c>
      <c r="F18" s="4" t="str">
        <f aca="false">Forecast!L5</f>
        <v>Actual</v>
      </c>
      <c r="G18" s="10" t="n">
        <f aca="false">Forecast!L12</f>
        <v>9076</v>
      </c>
      <c r="H18" s="10" t="n">
        <f aca="false">Guidance!L14</f>
        <v>8800</v>
      </c>
      <c r="I18" s="10" t="n">
        <f aca="false">Guidance!L15</f>
        <v>9400</v>
      </c>
      <c r="J18" s="10" t="n">
        <f aca="false">Guidance!L16</f>
        <v>9100</v>
      </c>
      <c r="K18" s="21" t="n">
        <f aca="false">IF(J18=0,0,G18/J18-1)</f>
        <v>-0.00263736263736258</v>
      </c>
      <c r="L18" s="7" t="str">
        <f aca="false">IF(G18&gt;I18,"Above",IF(G18&lt;H18,"Below","Within"))</f>
        <v>Within</v>
      </c>
    </row>
    <row r="19" customFormat="false" ht="15" hidden="false" customHeight="false" outlineLevel="0" collapsed="false">
      <c r="A19" s="7" t="s">
        <v>77</v>
      </c>
      <c r="B19" s="7" t="n">
        <v>2026</v>
      </c>
      <c r="C19" s="7" t="n">
        <v>2</v>
      </c>
      <c r="D19" s="40" t="n">
        <v>2026.2</v>
      </c>
      <c r="E19" s="7" t="s">
        <v>154</v>
      </c>
      <c r="F19" s="4" t="str">
        <f aca="false">Forecast!L5</f>
        <v>Actual</v>
      </c>
      <c r="G19" s="10" t="n">
        <f aca="false">Forecast!L13</f>
        <v>1382</v>
      </c>
      <c r="H19" s="10" t="n">
        <f aca="false">Guidance!L19</f>
        <v>1200</v>
      </c>
      <c r="I19" s="10" t="n">
        <f aca="false">Guidance!L20</f>
        <v>1400</v>
      </c>
      <c r="J19" s="10" t="n">
        <f aca="false">Guidance!L21</f>
        <v>1300</v>
      </c>
      <c r="K19" s="21" t="n">
        <f aca="false">IF(J19=0,0,G19/J19-1)</f>
        <v>0.063076923076923</v>
      </c>
      <c r="L19" s="7" t="str">
        <f aca="false">IF(G19&gt;I19,"Above",IF(G19&lt;H19,"Below","Within"))</f>
        <v>Within</v>
      </c>
    </row>
    <row r="20" customFormat="false" ht="15" hidden="false" customHeight="false" outlineLevel="0" collapsed="false">
      <c r="A20" s="7" t="s">
        <v>78</v>
      </c>
      <c r="B20" s="7" t="n">
        <v>2026</v>
      </c>
      <c r="C20" s="7" t="n">
        <v>3</v>
      </c>
      <c r="D20" s="40" t="n">
        <v>2026.3</v>
      </c>
      <c r="E20" s="7" t="s">
        <v>153</v>
      </c>
      <c r="F20" s="4" t="str">
        <f aca="false">Forecast!M5</f>
        <v>Actual</v>
      </c>
      <c r="G20" s="10" t="n">
        <f aca="false">Forecast!M12</f>
        <v>8504</v>
      </c>
      <c r="H20" s="10" t="n">
        <f aca="false">Guidance!M14</f>
        <v>7900</v>
      </c>
      <c r="I20" s="10" t="n">
        <f aca="false">Guidance!M15</f>
        <v>8500</v>
      </c>
      <c r="J20" s="10" t="n">
        <f aca="false">Guidance!M16</f>
        <v>8200</v>
      </c>
      <c r="K20" s="21" t="n">
        <f aca="false">IF(J20=0,0,G20/J20-1)</f>
        <v>0.0370731707317074</v>
      </c>
      <c r="L20" s="7" t="str">
        <f aca="false">IF(G20&gt;I20,"Above",IF(G20&lt;H20,"Below","Within"))</f>
        <v>Above</v>
      </c>
    </row>
    <row r="21" customFormat="false" ht="15" hidden="false" customHeight="false" outlineLevel="0" collapsed="false">
      <c r="A21" s="7" t="s">
        <v>78</v>
      </c>
      <c r="B21" s="7" t="n">
        <v>2026</v>
      </c>
      <c r="C21" s="7" t="n">
        <v>3</v>
      </c>
      <c r="D21" s="40" t="n">
        <v>2026.3</v>
      </c>
      <c r="E21" s="7" t="s">
        <v>154</v>
      </c>
      <c r="F21" s="4" t="str">
        <f aca="false">Forecast!M5</f>
        <v>Actual</v>
      </c>
      <c r="G21" s="10" t="n">
        <f aca="false">Forecast!M13</f>
        <v>1278</v>
      </c>
      <c r="H21" s="10" t="n">
        <f aca="false">Guidance!M19</f>
        <v>1150</v>
      </c>
      <c r="I21" s="10" t="n">
        <f aca="false">Guidance!M20</f>
        <v>1350</v>
      </c>
      <c r="J21" s="10" t="n">
        <f aca="false">Guidance!M21</f>
        <v>1250</v>
      </c>
      <c r="K21" s="21" t="n">
        <f aca="false">IF(J21=0,0,G21/J21-1)</f>
        <v>0.0224</v>
      </c>
      <c r="L21" s="7" t="str">
        <f aca="false">IF(G21&gt;I21,"Above",IF(G21&lt;H21,"Below","Within"))</f>
        <v>Within</v>
      </c>
    </row>
    <row r="22" customFormat="false" ht="15" hidden="false" customHeight="false" outlineLevel="0" collapsed="false">
      <c r="A22" s="7" t="s">
        <v>45</v>
      </c>
      <c r="B22" s="7" t="n">
        <v>2026</v>
      </c>
      <c r="C22" s="7" t="n">
        <v>4</v>
      </c>
      <c r="D22" s="40" t="n">
        <v>2026.4</v>
      </c>
      <c r="E22" s="7" t="s">
        <v>153</v>
      </c>
      <c r="F22" s="4" t="str">
        <f aca="false">Forecast!N5</f>
        <v>Forecast</v>
      </c>
      <c r="G22" s="10" t="n">
        <f aca="false">Forecast!N12</f>
        <v>8735.96</v>
      </c>
      <c r="H22" s="10" t="n">
        <f aca="false">Guidance!N14</f>
        <v>8400</v>
      </c>
      <c r="I22" s="10" t="n">
        <f aca="false">Guidance!N15</f>
        <v>9000</v>
      </c>
      <c r="J22" s="10" t="n">
        <f aca="false">Guidance!N16</f>
        <v>8700</v>
      </c>
      <c r="K22" s="21" t="n">
        <f aca="false">IF(J22=0,0,G22/J22-1)</f>
        <v>0.00413333333333332</v>
      </c>
      <c r="L22" s="7" t="str">
        <f aca="false">IF(G22&gt;I22,"Above",IF(G22&lt;H22,"Below","Within"))</f>
        <v>Within</v>
      </c>
    </row>
    <row r="23" customFormat="false" ht="15" hidden="false" customHeight="false" outlineLevel="0" collapsed="false">
      <c r="A23" s="7" t="s">
        <v>45</v>
      </c>
      <c r="B23" s="7" t="n">
        <v>2026</v>
      </c>
      <c r="C23" s="7" t="n">
        <v>4</v>
      </c>
      <c r="D23" s="40" t="n">
        <v>2026.4</v>
      </c>
      <c r="E23" s="7" t="s">
        <v>154</v>
      </c>
      <c r="F23" s="4" t="str">
        <f aca="false">Forecast!N5</f>
        <v>Forecast</v>
      </c>
      <c r="G23" s="10" t="n">
        <f aca="false">Forecast!N13</f>
        <v>1296.28</v>
      </c>
      <c r="H23" s="10" t="n">
        <f aca="false">Guidance!N19</f>
        <v>1200</v>
      </c>
      <c r="I23" s="10" t="n">
        <f aca="false">Guidance!N20</f>
        <v>1400</v>
      </c>
      <c r="J23" s="10" t="n">
        <f aca="false">Guidance!N21</f>
        <v>1300</v>
      </c>
      <c r="K23" s="21" t="n">
        <f aca="false">IF(J23=0,0,G23/J23-1)</f>
        <v>-0.00286153846153847</v>
      </c>
      <c r="L23" s="7" t="str">
        <f aca="false">IF(G23&gt;I23,"Above",IF(G23&lt;H23,"Below","Within"))</f>
        <v>Within</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2026-10-09T22:55:41Z</dcterms:created>
  <dc:creator>openpyxl</dc:creator>
  <dc:description/>
  <dc:language>en-US</dc:language>
  <cp:lastModifiedBy/>
  <dcterms:modified xsi:type="dcterms:W3CDTF">2026-10-09T22:55:41Z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